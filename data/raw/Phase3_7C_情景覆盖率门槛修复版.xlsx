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578de05af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8409d2a64ff44d5e"/>
    <x:sheet xmlns:r="http://schemas.openxmlformats.org/officeDocument/2006/relationships" name="来源登记" sheetId="2" r:id="R276a62569d864d1a"/>
    <x:sheet xmlns:r="http://schemas.openxmlformats.org/officeDocument/2006/relationships" name="使用说明" sheetId="3" r:id="Rdf1b4fad4e8343b0"/>
    <x:sheet xmlns:r="http://schemas.openxmlformats.org/officeDocument/2006/relationships" name="权重" sheetId="4" r:id="Rd06f337b057a4d29"/>
    <x:sheet xmlns:r="http://schemas.openxmlformats.org/officeDocument/2006/relationships" name="路径" sheetId="5" r:id="R8f46f9ceea904f1d"/>
    <x:sheet xmlns:r="http://schemas.openxmlformats.org/officeDocument/2006/relationships" name="证据评分" sheetId="6" r:id="Rddf006cc73b94670"/>
    <x:sheet xmlns:r="http://schemas.openxmlformats.org/officeDocument/2006/relationships" name="结果" sheetId="7" r:id="R541ac2b1aa464393"/>
    <x:sheet xmlns:r="http://schemas.openxmlformats.org/officeDocument/2006/relationships" name="三路径风险控制" sheetId="8" r:id="R6555a4a1ba87497f"/>
    <x:sheet xmlns:r="http://schemas.openxmlformats.org/officeDocument/2006/relationships" name="待核问题" sheetId="9" r:id="Rbe91d6ba1a45499b"/>
    <x:sheet xmlns:r="http://schemas.openxmlformats.org/officeDocument/2006/relationships" name="三级指标树" sheetId="10" r:id="Rdb955a83466944fd"/>
    <x:sheet xmlns:r="http://schemas.openxmlformats.org/officeDocument/2006/relationships" name="评分锚点" sheetId="11" r:id="R132bedce8cae409d"/>
    <x:sheet xmlns:r="http://schemas.openxmlformats.org/officeDocument/2006/relationships" name="三级证据评分" sheetId="12" r:id="Rf83bfb17318a4c67"/>
    <x:sheet xmlns:r="http://schemas.openxmlformats.org/officeDocument/2006/relationships" name="三级结果与敏感性" sheetId="13" r:id="Rf5845af003dd4343"/>
    <x:sheet xmlns:r="http://schemas.openxmlformats.org/officeDocument/2006/relationships" name="3_1使用与限制" sheetId="14" r:id="R9459d11c5627404a"/>
    <x:sheet xmlns:r="http://schemas.openxmlformats.org/officeDocument/2006/relationships" name="3_2证据映射候选" sheetId="15" r:id="R32891abb3e1c4f86"/>
    <x:sheet xmlns:r="http://schemas.openxmlformats.org/officeDocument/2006/relationships" name="3_2情景权重" sheetId="16" r:id="R59f1cc70e66d4a03"/>
    <x:sheet xmlns:r="http://schemas.openxmlformats.org/officeDocument/2006/relationships" name="3_2情景比较" sheetId="17" r:id="R969e87759d3640ea"/>
    <x:sheet xmlns:r="http://schemas.openxmlformats.org/officeDocument/2006/relationships" name="3_2使用与审计" sheetId="18" r:id="Rde1213d151f94dc1"/>
    <x:sheet xmlns:r="http://schemas.openxmlformats.org/officeDocument/2006/relationships" name="3_3模型验收" sheetId="19" r:id="Red4157c1d1d148b2"/>
    <x:sheet xmlns:r="http://schemas.openxmlformats.org/officeDocument/2006/relationships" name="3_3测试协议" sheetId="20" r:id="Raff6b70a4e9d4f93"/>
    <x:sheet xmlns:r="http://schemas.openxmlformats.org/officeDocument/2006/relationships" name="3_4压力测试与修复" sheetId="21" r:id="Rb7f5ba1e3f624228"/>
    <x:sheet xmlns:r="http://schemas.openxmlformats.org/officeDocument/2006/relationships" name="3_5执行测试记录" sheetId="22" r:id="R2053efcbf03346f5"/>
    <x:sheet xmlns:r="http://schemas.openxmlformats.org/officeDocument/2006/relationships" name="3_5修复说明" sheetId="23" r:id="Rac7ddb4007fa4182"/>
    <x:sheet xmlns:r="http://schemas.openxmlformats.org/officeDocument/2006/relationships" name="3_7C修复说明" sheetId="24" r:id="R10ebbfed1187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83153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1"/>
  </x:cellStyleXfs>
  <x:cellXfs count="5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164" fontId="0" fillId="0" borderId="0" xfId="0"/>
    <x:xf numFmtId="164" fontId="0" fillId="0" borderId="1" xfId="0"/>
    <x:xf numFmtId="9" fontId="0" fillId="0" borderId="0" xfId="0"/>
    <x:xf numFmtId="9" fontId="0" fillId="0" borderId="1" xfId="0"/>
    <x:xf numFmtId="2" fontId="0" fillId="0" borderId="0" xfId="0"/>
    <x:xf numFmtId="2" fontId="0" fillId="0" borderId="1" xfId="0"/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10" fontId="0" fillId="0" borderId="0" xfId="0"/>
    <x:xf numFmtId="0" fontId="0" fillId="4" borderId="0" xfId="0"/>
    <x:xf numFmtId="0" fontId="1" fillId="4" borderId="0" xfId="0"/>
    <x:xf numFmtId="165" fontId="0" fillId="0" borderId="0" xfId="0"/>
    <x:xf numFmtId="0" fontId="0" fillId="5" borderId="0" xfId="0"/>
    <x:xf numFmtId="0" fontId="1" fillId="5" borderId="0" xfId="0"/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0" fillId="0" borderId="0" xfId="0" applyAlignment="1">
      <x:alignment wrapText="1"/>
    </x:xf>
    <x:xf numFmtId="0" fontId="0" fillId="7" borderId="0" xfId="0"/>
    <x:xf numFmtId="0" fontId="2" fillId="7" borderId="0" xfId="0"/>
    <x:xf numFmtId="0" fontId="1" fillId="7" borderId="0" xfId="0"/>
    <x:xf numFmtId="164" fontId="0" fillId="0" borderId="0" xfId="0"/>
    <x:xf numFmtId="9" fontId="0" fillId="0" borderId="0" xfId="0"/>
    <x:xf numFmtId="2" fontId="0" fillId="0" borderId="0" xfId="0"/>
    <x:xf numFmtId="10" fontId="0" fillId="0" borderId="0" xfId="0"/>
    <x:xf numFmtId="165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164" fontId="0" fillId="0" borderId="0" xfId="0" applyNumberFormat="1" applyFont="1" applyFill="1" applyBorder="1"/>
    <x:xf numFmtId="9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1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2b46400764ee7" /><Relationship Type="http://schemas.openxmlformats.org/officeDocument/2006/relationships/theme" Target="/xl/theme/theme1.xml" Id="R69fe4ccf237941c0" /><Relationship Type="http://schemas.openxmlformats.org/officeDocument/2006/relationships/sharedStrings" Target="/xl/sharedStrings.xml" Id="R528390787cd0484d" /><Relationship Type="http://schemas.openxmlformats.org/officeDocument/2006/relationships/worksheet" Target="/xl/worksheets/sheet1.xml" Id="R8409d2a64ff44d5e" /><Relationship Type="http://schemas.openxmlformats.org/officeDocument/2006/relationships/worksheet" Target="/xl/worksheets/sheet2.xml" Id="R276a62569d864d1a" /><Relationship Type="http://schemas.openxmlformats.org/officeDocument/2006/relationships/worksheet" Target="/xl/worksheets/sheet3.xml" Id="Rdf1b4fad4e8343b0" /><Relationship Type="http://schemas.openxmlformats.org/officeDocument/2006/relationships/worksheet" Target="/xl/worksheets/sheet4.xml" Id="Rd06f337b057a4d29" /><Relationship Type="http://schemas.openxmlformats.org/officeDocument/2006/relationships/worksheet" Target="/xl/worksheets/sheet5.xml" Id="R8f46f9ceea904f1d" /><Relationship Type="http://schemas.openxmlformats.org/officeDocument/2006/relationships/worksheet" Target="/xl/worksheets/sheet6.xml" Id="Rddf006cc73b94670" /><Relationship Type="http://schemas.openxmlformats.org/officeDocument/2006/relationships/worksheet" Target="/xl/worksheets/sheet7.xml" Id="R541ac2b1aa464393" /><Relationship Type="http://schemas.openxmlformats.org/officeDocument/2006/relationships/worksheet" Target="/xl/worksheets/sheet8.xml" Id="R6555a4a1ba87497f" /><Relationship Type="http://schemas.openxmlformats.org/officeDocument/2006/relationships/worksheet" Target="/xl/worksheets/sheet9.xml" Id="Rbe91d6ba1a45499b" /><Relationship Type="http://schemas.openxmlformats.org/officeDocument/2006/relationships/worksheet" Target="/xl/worksheets/sheet10.xml" Id="Rdb955a83466944fd" /><Relationship Type="http://schemas.openxmlformats.org/officeDocument/2006/relationships/worksheet" Target="/xl/worksheets/sheet11.xml" Id="R132bedce8cae409d" /><Relationship Type="http://schemas.openxmlformats.org/officeDocument/2006/relationships/worksheet" Target="/xl/worksheets/sheet12.xml" Id="Rf83bfb17318a4c67" /><Relationship Type="http://schemas.openxmlformats.org/officeDocument/2006/relationships/worksheet" Target="/xl/worksheets/sheet13.xml" Id="Rf5845af003dd4343" /><Relationship Type="http://schemas.openxmlformats.org/officeDocument/2006/relationships/worksheet" Target="/xl/worksheets/sheet14.xml" Id="R9459d11c5627404a" /><Relationship Type="http://schemas.openxmlformats.org/officeDocument/2006/relationships/worksheet" Target="/xl/worksheets/sheet15.xml" Id="R32891abb3e1c4f86" /><Relationship Type="http://schemas.openxmlformats.org/officeDocument/2006/relationships/worksheet" Target="/xl/worksheets/sheet16.xml" Id="R59f1cc70e66d4a03" /><Relationship Type="http://schemas.openxmlformats.org/officeDocument/2006/relationships/worksheet" Target="/xl/worksheets/sheet17.xml" Id="R969e87759d3640ea" /><Relationship Type="http://schemas.openxmlformats.org/officeDocument/2006/relationships/worksheet" Target="/xl/worksheets/sheet18.xml" Id="Rde1213d151f94dc1" /><Relationship Type="http://schemas.openxmlformats.org/officeDocument/2006/relationships/worksheet" Target="/xl/worksheets/sheet19.xml" Id="Red4157c1d1d148b2" /><Relationship Type="http://schemas.openxmlformats.org/officeDocument/2006/relationships/worksheet" Target="/xl/worksheets/sheet20.xml" Id="Raff6b70a4e9d4f93" /><Relationship Type="http://schemas.openxmlformats.org/officeDocument/2006/relationships/worksheet" Target="/xl/worksheets/sheet21.xml" Id="Rb7f5ba1e3f624228" /><Relationship Type="http://schemas.openxmlformats.org/officeDocument/2006/relationships/worksheet" Target="/xl/worksheets/sheet22.xml" Id="R2053efcbf03346f5" /><Relationship Type="http://schemas.openxmlformats.org/officeDocument/2006/relationships/worksheet" Target="/xl/worksheets/sheet23.xml" Id="Rac7ddb4007fa4182" /><Relationship Type="http://schemas.openxmlformats.org/officeDocument/2006/relationships/worksheet" Target="/xl/worksheets/sheet24.xml" Id="R10ebbfed1187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参数名</x:t>
        </x:is>
      </x:c>
      <x:c r="B1" t="inlineStr">
        <x:is>
          <x:t xml:space="preserve">值</x:t>
        </x:is>
      </x:c>
      <x:c r="C1" t="inlineStr">
        <x:is>
          <x:t xml:space="preserve">说明</x:t>
        </x:is>
      </x:c>
    </x:row>
    <x:row r="2">
      <x:c r="A2" t="inlineStr">
        <x:is>
          <x:t xml:space="preserve">覆盖率阈值</x:t>
        </x:is>
      </x:c>
      <x:c r="B2" t="n">
        <x:v>0.8</x:v>
      </x:c>
      <x:c r="C2" t="inlineStr">
        <x:is>
          <x:t xml:space="preserve">证据覆盖率低于此值不得显示可比较分数</x:t>
        </x:is>
      </x:c>
    </x:row>
    <x:row r="3">
      <x:c r="A3" t="inlineStr">
        <x:is>
          <x:t xml:space="preserve">评分下限</x:t>
        </x:is>
      </x:c>
      <x:c r="B3" t="n">
        <x:v>1</x:v>
      </x:c>
      <x:c r="C3" t="inlineStr">
        <x:is>
          <x:t xml:space="preserve">有效评分最小值(含)</x:t>
        </x:is>
      </x:c>
    </x:row>
    <x:row r="4">
      <x:c r="A4" t="inlineStr">
        <x:is>
          <x:t xml:space="preserve">评分上限</x:t>
        </x:is>
      </x:c>
      <x:c r="B4" t="n">
        <x:v>5</x:v>
      </x:c>
      <x:c r="C4" t="inlineStr">
        <x:is>
          <x:t xml:space="preserve">有效评分最大值(含)</x:t>
        </x:is>
      </x:c>
    </x:row>
    <x:row r="5">
      <x:c r="A5" t="inlineStr">
        <x:is>
          <x:t xml:space="preserve">版本</x:t>
        </x:is>
      </x:c>
      <x:c r="B5" t="inlineStr">
        <x:is>
          <x:t xml:space="preserve">Phase 3.7B</x:t>
        </x:is>
      </x:c>
      <x:c r="C5" t="inlineStr">
        <x:is>
          <x:t xml:space="preserve">公式修复与端到端验收版</x:t>
        </x:is>
      </x:c>
    </x:row>
    <x:row r="6">
      <x:c r="A6" t="inlineStr">
        <x:is>
          <x:t xml:space="preserve">修复日期</x:t>
        </x:is>
      </x:c>
      <x:c r="B6" t="inlineStr">
        <x:is>
          <x:t xml:space="preserve">2026-10-16</x:t>
        </x:is>
      </x:c>
      <x:c r="C6" t="inlineStr">
        <x:is>
          <x:t xml:space="preserve">修复执行日期</x:t>
        </x:is>
      </x:c>
    </x:row>
    <x:row r="7">
      <x:c r="A7" t="inlineStr">
        <x:is>
          <x:t xml:space="preserve">计算引擎</x:t>
        </x:is>
      </x:c>
      <x:c r="B7" t="inlineStr">
        <x:is>
          <x:t xml:space="preserve">LibreOffice 24.2.7.2</x:t>
        </x:is>
      </x:c>
      <x:c r="C7" t="inlineStr">
        <x:is>
          <x:t xml:space="preserve">端到端重算环境(Excel兼容)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source_id</x:t>
        </x:is>
      </x:c>
      <x:c r="B1" t="inlineStr">
        <x:is>
          <x:t xml:space="preserve">来源描述</x:t>
        </x:is>
      </x:c>
      <x:c r="C1" t="inlineStr">
        <x:is>
          <x:t xml:space="preserve">证据层级</x:t>
        </x:is>
      </x:c>
      <x:c r="D1" t="inlineStr">
        <x:is>
          <x:t xml:space="preserve">核验状态</x:t>
        </x:is>
      </x:c>
      <x:c r="E1" t="inlineStr">
        <x:is>
          <x:t xml:space="preserve">备注</x:t>
        </x:is>
      </x:c>
      <x:c r="G1" t="inlineStr">
        <x:is>
          <x:t xml:space="preserve">登记来源数</x:t>
        </x:is>
      </x:c>
    </x:row>
    <x:row r="2">
      <x:c r="A2" t="inlineStr">
        <x:is>
          <x:t xml:space="preserve">SRC-NA</x:t>
        </x:is>
      </x:c>
      <x:c r="B2" t="inlineStr">
        <x:is>
          <x:t xml:space="preserve">（占位）尚未登记任何来源</x:t>
        </x:is>
      </x:c>
      <x:c r="C2" t="inlineStr">
        <x:is>
          <x:t xml:space="preserve">-</x:t>
        </x:is>
      </x:c>
      <x:c r="D2" t="inlineStr">
        <x:is>
          <x:t xml:space="preserve">未登记</x:t>
        </x:is>
      </x:c>
      <x:c r="E2" t="inlineStr">
        <x:is>
          <x:t xml:space="preserve">评分F列的 source_id 须能在此匹配才算已核验</x:t>
        </x:is>
      </x:c>
      <x:c r="G2" t="n">
        <x:f>COUNTA($A$2:$A$200)</x:f>
        <x:v>1</x:v>
      </x:c>
    </x:row>
    <x:row r="3">
      <x:c r="G3" t="inlineStr">
        <x:is>
          <x:t xml:space="preserve">说明</x:t>
        </x:is>
      </x:c>
    </x:row>
    <x:row r="4">
      <x:c r="G4" t="inlineStr">
        <x:is>
          <x:t xml:space="preserve">数据治理:来源非空≠已核验;须与登记表匹配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style="12" customWidth="1"/>
    <x:col min="2" max="2" width="100" style="12" customWidth="1"/>
  </x:cols>
  <x:sheetData>
    <x:row r="1" s="12" customFormat="1" ht="30" customHeight="1">
      <x:c r="A1" s="3" t="inlineStr">
        <x:is>
          <x:t xml:space="preserve">模块</x:t>
        </x:is>
      </x:c>
      <x:c r="B1" s="3" t="inlineStr">
        <x:is>
          <x:t xml:space="preserve">使用说明</x:t>
        </x:is>
      </x:c>
    </x:row>
    <x:row r="2">
      <x:c r="A2" t="inlineStr">
        <x:is>
          <x:t xml:space="preserve">定位</x:t>
        </x:is>
      </x:c>
      <x:c r="B2" t="inlineStr">
        <x:is>
          <x:t xml:space="preserve">Phase 3.0 决策模型 Demo；所有评分均为用户待填，绝非院校真实评分</x:t>
        </x:is>
      </x:c>
    </x:row>
    <x:row r="3">
      <x:c r="A3" t="inlineStr">
        <x:is>
          <x:t xml:space="preserve">决策对象</x:t>
        </x:is>
      </x:c>
      <x:c r="B3" t="inlineStr">
        <x:is>
          <x:t xml:space="preserve">学校×学院×专业×学习方式×方向；不同路径不合并</x:t>
        </x:is>
      </x:c>
    </x:row>
    <x:row r="4">
      <x:c r="A4" t="inlineStr">
        <x:is>
          <x:t xml:space="preserve">第一步</x:t>
        </x:is>
      </x:c>
      <x:c r="B4" t="inlineStr">
        <x:is>
          <x:t xml:space="preserve">在「路径」确认资格与年份；硬约束为否的自动排除</x:t>
        </x:is>
      </x:c>
    </x:row>
    <x:row r="5">
      <x:c r="A5" t="inlineStr">
        <x:is>
          <x:t xml:space="preserve">第二步</x:t>
        </x:is>
      </x:c>
      <x:c r="B5" t="inlineStr">
        <x:is>
          <x:t xml:space="preserve">在「权重」修改同级权重；相对重要性不代表录取概率</x:t>
        </x:is>
      </x:c>
    </x:row>
    <x:row r="6">
      <x:c r="A6" t="inlineStr">
        <x:is>
          <x:t xml:space="preserve">第三步</x:t>
        </x:is>
      </x:c>
      <x:c r="B6" t="inlineStr">
        <x:is>
          <x:t xml:space="preserve">在「证据评分」填写1-5分与来源；未知保持空白</x:t>
        </x:is>
      </x:c>
    </x:row>
    <x:row r="7">
      <x:c r="A7" t="inlineStr">
        <x:is>
          <x:t xml:space="preserve">第四步</x:t>
        </x:is>
      </x:c>
      <x:c r="B7" t="inlineStr">
        <x:is>
          <x:t xml:space="preserve">在「结果」看覆盖率、已知证据的加权分、排序资格</x:t>
        </x:is>
      </x:c>
    </x:row>
    <x:row r="8">
      <x:c r="A8" t="inlineStr">
        <x:is>
          <x:t xml:space="preserve">核心原则</x:t>
        </x:is>
      </x:c>
      <x:c r="B8" t="inlineStr">
        <x:is>
          <x:t xml:space="preserve">缺失不计0；缺失维度不进入分母；低覆盖率禁止正式比较</x:t>
        </x:is>
      </x:c>
    </x:row>
    <x:row r="9">
      <x:c r="A9" t="inlineStr">
        <x:is>
          <x:t xml:space="preserve">分数说明</x:t>
        </x:is>
      </x:c>
      <x:c r="B9" t="inlineStr">
        <x:is>
          <x:t xml:space="preserve">1-5是用户主观评估，必须注明依据，禁止当作官方定量评价</x:t>
        </x:is>
      </x:c>
    </x:row>
    <x:row r="10">
      <x:c r="A10" t="inlineStr">
        <x:is>
          <x:t xml:space="preserve">边界</x:t>
        </x:is>
      </x:c>
      <x:c r="B10" t="inlineStr">
        <x:is>
          <x:t xml:space="preserve">2028招生政策未公布；2027相关数据为研究材料声称，待官方原件复核</x:t>
        </x:is>
      </x:c>
    </x:row>
    <x:row r="11">
      <x:c r="A11" t="inlineStr">
        <x:is>
          <x:t xml:space="preserve">风险路径</x:t>
        </x:is>
      </x:c>
      <x:c r="B11" t="inlineStr">
        <x:is>
          <x:t xml:space="preserve">一志愿失败→仅有培养价值的调剂→AI相关就业；不接受二战</x:t>
        </x:is>
      </x:c>
    </x:row>
    <x:row r="12">
      <x:c r="A12" t="inlineStr">
        <x:is>
          <x:t xml:space="preserve">证据来源</x:t>
        </x:is>
      </x:c>
      <x:c r="B12" t="inlineStr">
        <x:is>
          <x:t xml:space="preserve">Phase 2D 报告及既有 2B/2C；本文件不对网页进行独立核验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style="12" customWidth="1"/>
    <x:col min="2" max="2" width="18" style="12" customWidth="1"/>
    <x:col min="3" max="3" width="85" style="12" customWidth="1"/>
    <x:col min="4" max="4" width="18" style="12" customWidth="1"/>
  </x:cols>
  <x:sheetData>
    <x:row r="1" s="12" customFormat="1" ht="30" customHeight="1">
      <x:c r="A1" s="3" t="inlineStr">
        <x:is>
          <x:t xml:space="preserve">维度</x:t>
        </x:is>
      </x:c>
      <x:c r="B1" s="3" t="inlineStr">
        <x:is>
          <x:t xml:space="preserve">权重(可改)</x:t>
        </x:is>
      </x:c>
      <x:c r="C1" s="3" t="inlineStr">
        <x:is>
          <x:t xml:space="preserve">评分解释</x:t>
        </x:is>
      </x:c>
      <x:c r="D1" s="3" t="inlineStr">
        <x:is>
          <x:t xml:space="preserve">权重占比</x:t>
        </x:is>
      </x:c>
    </x:row>
    <x:row r="2">
      <x:c r="A2" t="inlineStr">
        <x:is>
          <x:t xml:space="preserve">职业与AI工程发展</x:t>
        </x:is>
      </x:c>
      <x:c r="B2" t="n">
        <x:v>35</x:v>
      </x:c>
      <x:c r="C2" t="inlineStr">
        <x:is>
          <x:t xml:space="preserve">产业/就业路径与工程机会</x:t>
        </x:is>
      </x:c>
      <x:c r="D2" s="29" t="n">
        <x:f>IFERROR(B2/SUM($B$2:$B$6),0)</x:f>
        <x:v>0.35</x:v>
      </x:c>
    </x:row>
    <x:row r="3">
      <x:c r="A3" t="inlineStr">
        <x:is>
          <x:t xml:space="preserve">报考可行性</x:t>
        </x:is>
      </x:c>
      <x:c r="B3" t="n">
        <x:v>30</x:v>
      </x:c>
      <x:c r="C3" t="inlineStr">
        <x:is>
          <x:t xml:space="preserve">招生路径清晰、名额口径与考试科目稳定性；非录取概率</x:t>
        </x:is>
      </x:c>
      <x:c r="D3" s="29" t="n">
        <x:f>IFERROR(B3/SUM($B$2:$B$6),0)</x:f>
        <x:v>0.3</x:v>
      </x:c>
    </x:row>
    <x:row r="4">
      <x:c r="A4" t="inlineStr">
        <x:is>
          <x:t xml:space="preserve">研究方向与培养</x:t>
        </x:is>
      </x:c>
      <x:c r="B4" t="n">
        <x:v>20</x:v>
      </x:c>
      <x:c r="C4" t="inlineStr">
        <x:is>
          <x:t xml:space="preserve">Agent/LLM/具身方向及培养机制</x:t>
        </x:is>
      </x:c>
      <x:c r="D4" s="29" t="n">
        <x:f>IFERROR(B4/SUM($B$2:$B$6),0)</x:f>
        <x:v>0.2</x:v>
      </x:c>
    </x:row>
    <x:row r="5">
      <x:c r="A5" t="inlineStr">
        <x:is>
          <x:t xml:space="preserve">产业生态与地域</x:t>
        </x:is>
      </x:c>
      <x:c r="B5" t="n">
        <x:v>10</x:v>
      </x:c>
      <x:c r="C5" t="inlineStr">
        <x:is>
          <x:t xml:space="preserve">城市AI产业机会；就业城市可不同</x:t>
        </x:is>
      </x:c>
      <x:c r="D5" s="29" t="n">
        <x:f>IFERROR(B5/SUM($B$2:$B$6),0)</x:f>
        <x:v>0.1</x:v>
      </x:c>
    </x:row>
    <x:row r="6">
      <x:c r="A6" t="inlineStr">
        <x:is>
          <x:t xml:space="preserve">成本与培养安排</x:t>
        </x:is>
      </x:c>
      <x:c r="B6" t="n">
        <x:v>5</x:v>
      </x:c>
      <x:c r="C6" t="inlineStr">
        <x:is>
          <x:t xml:space="preserve">学费住宿/异地培养软约束</x:t>
        </x:is>
      </x:c>
      <x:c r="D6" s="29" t="n">
        <x:f>IFERROR(B6/SUM($B$2:$B$6),0)</x:f>
        <x:v>0.05</x:v>
      </x:c>
    </x:row>
  </x:sheetData>
  <x:dataValidations count="1">
    <x:dataValidation type="decimal" operator="between" allowBlank="0" showDropDown="0" showInputMessage="0" showErrorMessage="0" sqref="B2:B6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12" customWidth="1"/>
    <x:col min="2" max="2" width="22" style="12" customWidth="1"/>
    <x:col min="3" max="3" width="12" style="12" customWidth="1"/>
    <x:col min="4" max="4" width="12" style="12" customWidth="1"/>
    <x:col min="5" max="5" width="14" style="12" customWidth="1"/>
    <x:col min="6" max="6" width="20" style="12" customWidth="1"/>
    <x:col min="7" max="7" width="19" style="12" customWidth="1"/>
    <x:col min="8" max="8" width="19" style="12" customWidth="1"/>
    <x:col min="9" max="9" width="19" style="12" customWidth="1"/>
    <x:col min="10" max="10" width="54" style="12" customWidth="1"/>
    <x:col min="11" max="11" width="18" style="12" customWidth="1"/>
    <x:col min="12" max="12" width="20" style="12" customWidth="1"/>
    <x:col min="13" max="13" width="20" style="12" customWidth="1"/>
    <x:col min="14" max="14" width="19" style="12" customWidth="1"/>
  </x:cols>
  <x:sheetData>
    <x:row r="1" s="12" customFormat="1" ht="30" customHeight="1">
      <x:c r="A1" s="3" t="inlineStr">
        <x:is>
          <x:t xml:space="preserve">路径ID</x:t>
        </x:is>
      </x:c>
      <x:c r="B1" s="3" t="inlineStr">
        <x:is>
          <x:t xml:space="preserve">学校</x:t>
        </x:is>
      </x:c>
      <x:c r="C1" s="3" t="inlineStr">
        <x:is>
          <x:t xml:space="preserve">学院码</x:t>
        </x:is>
      </x:c>
      <x:c r="D1" s="3" t="inlineStr">
        <x:is>
          <x:t xml:space="preserve">专业码</x:t>
        </x:is>
      </x:c>
      <x:c r="E1" s="3" t="inlineStr">
        <x:is>
          <x:t xml:space="preserve">学习方式</x:t>
        </x:is>
      </x:c>
      <x:c r="F1" s="3" t="inlineStr">
        <x:is>
          <x:t xml:space="preserve">方向/类别</x:t>
        </x:is>
      </x:c>
      <x:c r="G1" s="3" t="inlineStr">
        <x:is>
          <x:t xml:space="preserve">初试第四单元</x:t>
        </x:is>
      </x:c>
      <x:c r="H1" s="3" t="inlineStr">
        <x:is>
          <x:t xml:space="preserve">培养地</x:t>
        </x:is>
      </x:c>
      <x:c r="I1" s="3" t="inlineStr">
        <x:is>
          <x:t xml:space="preserve">2028核验状态</x:t>
        </x:is>
      </x:c>
      <x:c r="J1" s="3" t="inlineStr">
        <x:is>
          <x:t xml:space="preserve">关键风险</x:t>
        </x:is>
      </x:c>
      <x:c r="K1" s="3" t="inlineStr">
        <x:is>
          <x:t xml:space="preserve">全日制符合?</x:t>
        </x:is>
      </x:c>
      <x:c r="L1" s="3" t="inlineStr">
        <x:is>
          <x:t xml:space="preserve">接受专业代码?</x:t>
        </x:is>
      </x:c>
      <x:c r="M1" s="3" t="inlineStr">
        <x:is>
          <x:t xml:space="preserve">其他硬约束符合?</x:t>
        </x:is>
      </x:c>
      <x:c r="N1" s="3" t="inlineStr">
        <x:is>
          <x:t xml:space="preserve">准入状态</x:t>
        </x:is>
      </x:c>
      <x:c r="O1" t="inlineStr">
        <x:is>
          <x:t xml:space="preserve">2028正式资格状态</x:t>
        </x:is>
      </x:c>
      <x:c r="P1" t="inlineStr">
        <x:is>
          <x:t xml:space="preserve">资格说明</x:t>
        </x:is>
      </x:c>
    </x:row>
    <x:row r="2">
      <x:c r="A2" t="inlineStr">
        <x:is>
          <x:t xml:space="preserve">P01</x:t>
        </x:is>
      </x:c>
      <x:c r="B2" t="inlineStr">
        <x:is>
          <x:t xml:space="preserve">北京邮电大学</x:t>
        </x:is>
      </x:c>
      <x:c r="C2" t="inlineStr">
        <x:is>
          <x:t xml:space="preserve">005</x:t>
        </x:is>
      </x:c>
      <x:c r="D2" t="inlineStr">
        <x:is>
          <x:t xml:space="preserve">085410</x:t>
        </x:is>
      </x:c>
      <x:c r="E2" t="inlineStr">
        <x:is>
          <x:t xml:space="preserve">全日制</x:t>
        </x:is>
      </x:c>
      <x:c r="F2" t="inlineStr">
        <x:is>
          <x:t xml:space="preserve">方向01</x:t>
        </x:is>
      </x:c>
      <x:c r="G2" t="inlineStr">
        <x:is>
          <x:t xml:space="preserve">801 通信原理</x:t>
        </x:is>
      </x:c>
      <x:c r="H2" t="inlineStr">
        <x:is>
          <x:t xml:space="preserve">北京</x:t>
        </x:is>
      </x:c>
      <x:c r="I2" t="inlineStr">
        <x:is>
          <x:t xml:space="preserve">待2028核验</x:t>
        </x:is>
      </x:c>
      <x:c r="J2" t="inlineStr">
        <x:is>
          <x:t xml:space="preserve">北邮2027目录原件未取得（原件已于 2026-10-16 取得官方原文并核验，适用2027，非2028）</x:t>
        </x:is>
      </x:c>
      <x:c r="K2" t="inlineStr">
        <x:is>
          <x:t xml:space="preserve">是</x:t>
        </x:is>
      </x:c>
      <x:c r="L2" t="inlineStr">
        <x:is>
          <x:t xml:space="preserve">是</x:t>
        </x:is>
      </x:c>
      <x:c r="M2" t="inlineStr">
        <x:is>
          <x:t xml:space="preserve">待确认</x:t>
        </x:is>
      </x:c>
      <x:c r="N2" t="str">
        <x:f>IF(OR(K2="否",L2="否",M2="否"),"排除",IF(AND(K2="是",L2="是",M2="是"),"候选","待确认"))</x:f>
        <x:v>待确认</x:v>
      </x:c>
      <x:c r="O2" t="str">
        <x:f>IF(I2="已核验2028",IF(N2="候选","2028资格已确认","未满足"),"2028资格未确认")</x:f>
        <x:v>2028资格未确认</x:v>
      </x:c>
      <x:c r="P2" t="str">
        <x:f>IF(N2="排除","硬约束不符",IF(N2="候选","手工硬约束符合-仅候选","硬约束待确认"))</x:f>
        <x:v>硬约束待确认</x:v>
      </x:c>
    </x:row>
    <x:row r="3">
      <x:c r="A3" t="inlineStr">
        <x:is>
          <x:t xml:space="preserve">P02</x:t>
        </x:is>
      </x:c>
      <x:c r="B3" t="inlineStr">
        <x:is>
          <x:t xml:space="preserve">北京邮电大学</x:t>
        </x:is>
      </x:c>
      <x:c r="C3" t="inlineStr">
        <x:is>
          <x:t xml:space="preserve">005</x:t>
        </x:is>
      </x:c>
      <x:c r="D3" t="inlineStr">
        <x:is>
          <x:t xml:space="preserve">085410</x:t>
        </x:is>
      </x:c>
      <x:c r="E3" t="inlineStr">
        <x:is>
          <x:t xml:space="preserve">全日制</x:t>
        </x:is>
      </x:c>
      <x:c r="F3" t="inlineStr">
        <x:is>
          <x:t xml:space="preserve">方向02</x:t>
        </x:is>
      </x:c>
      <x:c r="G3" t="inlineStr">
        <x:is>
          <x:t xml:space="preserve">408</x:t>
        </x:is>
      </x:c>
      <x:c r="H3" t="inlineStr">
        <x:is>
          <x:t xml:space="preserve">北京</x:t>
        </x:is>
      </x:c>
      <x:c r="I3" t="inlineStr">
        <x:is>
          <x:t xml:space="preserve">待2028核验</x:t>
        </x:is>
      </x:c>
      <x:c r="J3" t="inlineStr">
        <x:is>
          <x:t xml:space="preserve">2027改408；原件未取得（原件已于 2026-10-16 取得官方原文并核验，适用2027，非2028）</x:t>
        </x:is>
      </x:c>
      <x:c r="K3" t="inlineStr">
        <x:is>
          <x:t xml:space="preserve">是</x:t>
        </x:is>
      </x:c>
      <x:c r="L3" t="inlineStr">
        <x:is>
          <x:t xml:space="preserve">是</x:t>
        </x:is>
      </x:c>
      <x:c r="M3" t="inlineStr">
        <x:is>
          <x:t xml:space="preserve">待确认</x:t>
        </x:is>
      </x:c>
      <x:c r="N3" t="str">
        <x:f>IF(OR(K3="否",L3="否",M3="否"),"排除",IF(AND(K3="是",L3="是",M3="是"),"候选","待确认"))</x:f>
        <x:v>待确认</x:v>
      </x:c>
      <x:c r="O3" t="str">
        <x:f>IF(I3="已核验2028",IF(N3="候选","2028资格已确认","未满足"),"2028资格未确认")</x:f>
        <x:v>2028资格未确认</x:v>
      </x:c>
      <x:c r="P3" t="str">
        <x:f>IF(N3="排除","硬约束不符",IF(N3="候选","手工硬约束符合-仅候选","硬约束待确认"))</x:f>
        <x:v>硬约束待确认</x:v>
      </x:c>
    </x:row>
    <x:row r="4">
      <x:c r="A4" t="inlineStr">
        <x:is>
          <x:t xml:space="preserve">P03</x:t>
        </x:is>
      </x:c>
      <x:c r="B4" t="inlineStr">
        <x:is>
          <x:t xml:space="preserve">电子科技大学</x:t>
        </x:is>
      </x:c>
      <x:c r="C4" t="inlineStr">
        <x:is>
          <x:t xml:space="preserve">008</x:t>
        </x:is>
      </x:c>
      <x:c r="D4" t="inlineStr">
        <x:is>
          <x:t xml:space="preserve">085404</x:t>
        </x:is>
      </x:c>
      <x:c r="E4" t="inlineStr">
        <x:is>
          <x:t xml:space="preserve">全日制</x:t>
        </x:is>
      </x:c>
      <x:c r="F4" t="inlineStr">
        <x:is>
          <x:t xml:space="preserve">计算机技术</x:t>
        </x:is>
      </x:c>
      <x:c r="G4" t="inlineStr">
        <x:is>
          <x:t xml:space="preserve">408</x:t>
        </x:is>
      </x:c>
      <x:c r="H4" t="inlineStr">
        <x:is>
          <x:t xml:space="preserve">成都</x:t>
        </x:is>
      </x:c>
      <x:c r="I4" t="inlineStr">
        <x:is>
          <x:t xml:space="preserve">待2028核验</x:t>
        </x:is>
      </x:c>
      <x:c r="J4" t="inlineStr">
        <x:is>
          <x:t xml:space="preserve">非085410；研究方向需逐项确认</x:t>
        </x:is>
      </x:c>
      <x:c r="K4" t="inlineStr">
        <x:is>
          <x:t xml:space="preserve">是</x:t>
        </x:is>
      </x:c>
      <x:c r="L4" t="inlineStr">
        <x:is>
          <x:t xml:space="preserve">是</x:t>
        </x:is>
      </x:c>
      <x:c r="M4" t="inlineStr">
        <x:is>
          <x:t xml:space="preserve">待确认</x:t>
        </x:is>
      </x:c>
      <x:c r="N4" t="str">
        <x:f>IF(OR(K4="否",L4="否",M4="否"),"排除",IF(AND(K4="是",L4="是",M4="是"),"候选","待确认"))</x:f>
        <x:v>待确认</x:v>
      </x:c>
      <x:c r="O4" t="str">
        <x:f>IF(I4="已核验2028",IF(N4="候选","2028资格已确认","未满足"),"2028资格未确认")</x:f>
        <x:v>2028资格未确认</x:v>
      </x:c>
      <x:c r="P4" t="str">
        <x:f>IF(N4="排除","硬约束不符",IF(N4="候选","手工硬约束符合-仅候选","硬约束待确认"))</x:f>
        <x:v>硬约束待确认</x:v>
      </x:c>
    </x:row>
    <x:row r="5">
      <x:c r="A5" t="inlineStr">
        <x:is>
          <x:t xml:space="preserve">P04</x:t>
        </x:is>
      </x:c>
      <x:c r="B5" t="inlineStr">
        <x:is>
          <x:t xml:space="preserve">电子科技大学</x:t>
        </x:is>
      </x:c>
      <x:c r="C5" t="inlineStr">
        <x:is>
          <x:t xml:space="preserve">028</x:t>
        </x:is>
      </x:c>
      <x:c r="D5" t="inlineStr">
        <x:is>
          <x:t xml:space="preserve">085404</x:t>
        </x:is>
      </x:c>
      <x:c r="E5" t="inlineStr">
        <x:is>
          <x:t xml:space="preserve">全日制</x:t>
        </x:is>
      </x:c>
      <x:c r="F5" t="inlineStr">
        <x:is>
          <x:t xml:space="preserve">计算机技术</x:t>
        </x:is>
      </x:c>
      <x:c r="G5" t="inlineStr">
        <x:is>
          <x:t xml:space="preserve">待核</x:t>
        </x:is>
      </x:c>
      <x:c r="H5" t="inlineStr">
        <x:is>
          <x:t xml:space="preserve">深圳</x:t>
        </x:is>
      </x:c>
      <x:c r="I5" t="inlineStr">
        <x:is>
          <x:t xml:space="preserve">待2028核验</x:t>
        </x:is>
      </x:c>
      <x:c r="J5" t="inlineStr">
        <x:is>
          <x:t xml:space="preserve">异地；40为2026复试统考计划</x:t>
        </x:is>
      </x:c>
      <x:c r="K5" t="inlineStr">
        <x:is>
          <x:t xml:space="preserve">是</x:t>
        </x:is>
      </x:c>
      <x:c r="L5" t="inlineStr">
        <x:is>
          <x:t xml:space="preserve">是</x:t>
        </x:is>
      </x:c>
      <x:c r="M5" t="inlineStr">
        <x:is>
          <x:t xml:space="preserve">待确认</x:t>
        </x:is>
      </x:c>
      <x:c r="N5" t="str">
        <x:f>IF(OR(K5="否",L5="否",M5="否"),"排除",IF(AND(K5="是",L5="是",M5="是"),"候选","待确认"))</x:f>
        <x:v>待确认</x:v>
      </x:c>
      <x:c r="O5" t="str">
        <x:f>IF(I5="已核验2028",IF(N5="候选","2028资格已确认","未满足"),"2028资格未确认")</x:f>
        <x:v>2028资格未确认</x:v>
      </x:c>
      <x:c r="P5" t="str">
        <x:f>IF(N5="排除","硬约束不符",IF(N5="候选","手工硬约束符合-仅候选","硬约束待确认"))</x:f>
        <x:v>硬约束待确认</x:v>
      </x:c>
    </x:row>
    <x:row r="6">
      <x:c r="A6" t="inlineStr">
        <x:is>
          <x:t xml:space="preserve">P05</x:t>
        </x:is>
      </x:c>
      <x:c r="B6" t="inlineStr">
        <x:is>
          <x:t xml:space="preserve">东南大学</x:t>
        </x:is>
      </x:c>
      <x:c r="C6" t="inlineStr">
        <x:is>
          <x:t xml:space="preserve">009</x:t>
        </x:is>
      </x:c>
      <x:c r="D6" t="inlineStr">
        <x:is>
          <x:t xml:space="preserve">085410</x:t>
        </x:is>
      </x:c>
      <x:c r="E6" t="inlineStr">
        <x:is>
          <x:t xml:space="preserve">全日制</x:t>
        </x:is>
      </x:c>
      <x:c r="F6" t="inlineStr">
        <x:is>
          <x:t xml:space="preserve">人工智能</x:t>
        </x:is>
      </x:c>
      <x:c r="G6" t="inlineStr">
        <x:is>
          <x:t xml:space="preserve">408</x:t>
        </x:is>
      </x:c>
      <x:c r="H6" t="inlineStr">
        <x:is>
          <x:t xml:space="preserve">南京</x:t>
        </x:is>
      </x:c>
      <x:c r="I6" t="inlineStr">
        <x:is>
          <x:t xml:space="preserve">待2028核验</x:t>
        </x:is>
      </x:c>
      <x:c r="J6" t="inlineStr">
        <x:is>
          <x:t xml:space="preserve">2027目录拟考28与复试阶段口径不同</x:t>
        </x:is>
      </x:c>
      <x:c r="K6" t="inlineStr">
        <x:is>
          <x:t xml:space="preserve">是</x:t>
        </x:is>
      </x:c>
      <x:c r="L6" t="inlineStr">
        <x:is>
          <x:t xml:space="preserve">是</x:t>
        </x:is>
      </x:c>
      <x:c r="M6" t="inlineStr">
        <x:is>
          <x:t xml:space="preserve">待确认</x:t>
        </x:is>
      </x:c>
      <x:c r="N6" t="str">
        <x:f>IF(OR(K6="否",L6="否",M6="否"),"排除",IF(AND(K6="是",L6="是",M6="是"),"候选","待确认"))</x:f>
        <x:v>待确认</x:v>
      </x:c>
      <x:c r="O6" t="str">
        <x:f>IF(I6="已核验2028",IF(N6="候选","2028资格已确认","未满足"),"2028资格未确认")</x:f>
        <x:v>2028资格未确认</x:v>
      </x:c>
      <x:c r="P6" t="str">
        <x:f>IF(N6="排除","硬约束不符",IF(N6="候选","手工硬约束符合-仅候选","硬约束待确认"))</x:f>
        <x:v>硬约束待确认</x:v>
      </x:c>
    </x:row>
    <x:row r="7">
      <x:c r="A7" t="inlineStr">
        <x:is>
          <x:t xml:space="preserve">P06</x:t>
        </x:is>
      </x:c>
      <x:c r="B7" t="inlineStr">
        <x:is>
          <x:t xml:space="preserve">合肥工业大学</x:t>
        </x:is>
      </x:c>
      <x:c r="C7" t="inlineStr">
        <x:is>
          <x:t xml:space="preserve">005</x:t>
        </x:is>
      </x:c>
      <x:c r="D7" t="inlineStr">
        <x:is>
          <x:t xml:space="preserve">085410</x:t>
        </x:is>
      </x:c>
      <x:c r="E7" t="inlineStr">
        <x:is>
          <x:t xml:space="preserve">全日制</x:t>
        </x:is>
      </x:c>
      <x:c r="F7" t="inlineStr">
        <x:is>
          <x:t xml:space="preserve">人工智能</x:t>
        </x:is>
      </x:c>
      <x:c r="G7" t="inlineStr">
        <x:is>
          <x:t xml:space="preserve">408</x:t>
        </x:is>
      </x:c>
      <x:c r="H7" t="inlineStr">
        <x:is>
          <x:t xml:space="preserve">合肥</x:t>
        </x:is>
      </x:c>
      <x:c r="I7" t="inlineStr">
        <x:is>
          <x:t xml:space="preserve">待2028核验</x:t>
        </x:is>
      </x:c>
      <x:c r="J7" t="inlineStr">
        <x:is>
          <x:t xml:space="preserve">目录与复试统考计划不同</x:t>
        </x:is>
      </x:c>
      <x:c r="K7" t="inlineStr">
        <x:is>
          <x:t xml:space="preserve">是</x:t>
        </x:is>
      </x:c>
      <x:c r="L7" t="inlineStr">
        <x:is>
          <x:t xml:space="preserve">是</x:t>
        </x:is>
      </x:c>
      <x:c r="M7" t="inlineStr">
        <x:is>
          <x:t xml:space="preserve">待确认</x:t>
        </x:is>
      </x:c>
      <x:c r="N7" t="str">
        <x:f>IF(OR(K7="否",L7="否",M7="否"),"排除",IF(AND(K7="是",L7="是",M7="是"),"候选","待确认"))</x:f>
        <x:v>待确认</x:v>
      </x:c>
      <x:c r="O7" t="str">
        <x:f>IF(I7="已核验2028",IF(N7="候选","2028资格已确认","未满足"),"2028资格未确认")</x:f>
        <x:v>2028资格未确认</x:v>
      </x:c>
      <x:c r="P7" t="str">
        <x:f>IF(N7="排除","硬约束不符",IF(N7="候选","手工硬约束符合-仅候选","硬约束待确认"))</x:f>
        <x:v>硬约束待确认</x:v>
      </x:c>
    </x:row>
    <x:row r="8">
      <x:c r="A8" t="inlineStr">
        <x:is>
          <x:t xml:space="preserve">P07</x:t>
        </x:is>
      </x:c>
      <x:c r="B8" t="inlineStr">
        <x:is>
          <x:t xml:space="preserve">合肥工业大学</x:t>
        </x:is>
      </x:c>
      <x:c r="C8" t="inlineStr">
        <x:is>
          <x:t xml:space="preserve">021</x:t>
        </x:is>
      </x:c>
      <x:c r="D8" t="inlineStr">
        <x:is>
          <x:t xml:space="preserve">085410</x:t>
        </x:is>
      </x:c>
      <x:c r="E8" t="inlineStr">
        <x:is>
          <x:t xml:space="preserve">全日制</x:t>
        </x:is>
      </x:c>
      <x:c r="F8" t="inlineStr">
        <x:is>
          <x:t xml:space="preserve">卓工路径</x:t>
        </x:is>
      </x:c>
      <x:c r="G8" t="inlineStr">
        <x:is>
          <x:t xml:space="preserve">待核</x:t>
        </x:is>
      </x:c>
      <x:c r="H8" t="inlineStr">
        <x:is>
          <x:t xml:space="preserve">合肥/企业</x:t>
        </x:is>
      </x:c>
      <x:c r="I8" t="inlineStr">
        <x:is>
          <x:t xml:space="preserve">待2028核验</x:t>
        </x:is>
      </x:c>
      <x:c r="J8" t="inlineStr">
        <x:is>
          <x:t xml:space="preserve">入企实践期间住宿需确认</x:t>
        </x:is>
      </x:c>
      <x:c r="K8" t="inlineStr">
        <x:is>
          <x:t xml:space="preserve">是</x:t>
        </x:is>
      </x:c>
      <x:c r="L8" t="inlineStr">
        <x:is>
          <x:t xml:space="preserve">是</x:t>
        </x:is>
      </x:c>
      <x:c r="M8" t="inlineStr">
        <x:is>
          <x:t xml:space="preserve">待确认</x:t>
        </x:is>
      </x:c>
      <x:c r="N8" t="str">
        <x:f>IF(OR(K8="否",L8="否",M8="否"),"排除",IF(AND(K8="是",L8="是",M8="是"),"候选","待确认"))</x:f>
        <x:v>待确认</x:v>
      </x:c>
      <x:c r="O8" t="str">
        <x:f>IF(I8="已核验2028",IF(N8="候选","2028资格已确认","未满足"),"2028资格未确认")</x:f>
        <x:v>2028资格未确认</x:v>
      </x:c>
      <x:c r="P8" t="str">
        <x:f>IF(N8="排除","硬约束不符",IF(N8="候选","手工硬约束符合-仅候选","硬约束待确认"))</x:f>
        <x:v>硬约束待确认</x:v>
      </x:c>
    </x:row>
    <x:row r="9">
      <x:c r="A9" t="inlineStr">
        <x:is>
          <x:t xml:space="preserve">P08</x:t>
        </x:is>
      </x:c>
      <x:c r="B9" t="inlineStr">
        <x:is>
          <x:t xml:space="preserve">合肥工业大学</x:t>
        </x:is>
      </x:c>
      <x:c r="C9" t="inlineStr">
        <x:is>
          <x:t xml:space="preserve">023</x:t>
        </x:is>
      </x:c>
      <x:c r="D9" t="inlineStr">
        <x:is>
          <x:t xml:space="preserve">085410</x:t>
        </x:is>
      </x:c>
      <x:c r="E9" t="inlineStr">
        <x:is>
          <x:t xml:space="preserve">全日制</x:t>
        </x:is>
      </x:c>
      <x:c r="F9" t="inlineStr">
        <x:is>
          <x:t xml:space="preserve">创新学院</x:t>
        </x:is>
      </x:c>
      <x:c r="G9" t="inlineStr">
        <x:is>
          <x:t xml:space="preserve">待核</x:t>
        </x:is>
      </x:c>
      <x:c r="H9" t="inlineStr">
        <x:is>
          <x:t xml:space="preserve">合肥</x:t>
        </x:is>
      </x:c>
      <x:c r="I9" t="inlineStr">
        <x:is>
          <x:t xml:space="preserve">待2028核验</x:t>
        </x:is>
      </x:c>
      <x:c r="J9" t="inlineStr">
        <x:is>
          <x:t xml:space="preserve">新设单位，统考名额推算不可靠</x:t>
        </x:is>
      </x:c>
      <x:c r="K9" t="inlineStr">
        <x:is>
          <x:t xml:space="preserve">是</x:t>
        </x:is>
      </x:c>
      <x:c r="L9" t="inlineStr">
        <x:is>
          <x:t xml:space="preserve">是</x:t>
        </x:is>
      </x:c>
      <x:c r="M9" t="inlineStr">
        <x:is>
          <x:t xml:space="preserve">待确认</x:t>
        </x:is>
      </x:c>
      <x:c r="N9" t="str">
        <x:f>IF(OR(K9="否",L9="否",M9="否"),"排除",IF(AND(K9="是",L9="是",M9="是"),"候选","待确认"))</x:f>
        <x:v>待确认</x:v>
      </x:c>
      <x:c r="O9" t="str">
        <x:f>IF(I9="已核验2028",IF(N9="候选","2028资格已确认","未满足"),"2028资格未确认")</x:f>
        <x:v>2028资格未确认</x:v>
      </x:c>
      <x:c r="P9" t="str">
        <x:f>IF(N9="排除","硬约束不符",IF(N9="候选","手工硬约束符合-仅候选","硬约束待确认"))</x:f>
        <x:v>硬约束待确认</x:v>
      </x:c>
    </x:row>
    <x:row r="10">
      <x:c r="A10" t="inlineStr">
        <x:is>
          <x:t xml:space="preserve">P09</x:t>
        </x:is>
      </x:c>
      <x:c r="B10" t="inlineStr">
        <x:is>
          <x:t xml:space="preserve">西南交通大学</x:t>
        </x:is>
      </x:c>
      <x:c r="C10" t="inlineStr">
        <x:is>
          <x:t xml:space="preserve">004</x:t>
        </x:is>
      </x:c>
      <x:c r="D10" t="inlineStr">
        <x:is>
          <x:t xml:space="preserve">085410</x:t>
        </x:is>
      </x:c>
      <x:c r="E10" t="inlineStr">
        <x:is>
          <x:t xml:space="preserve">全日制</x:t>
        </x:is>
      </x:c>
      <x:c r="F10" t="inlineStr">
        <x:is>
          <x:t xml:space="preserve">人工智能</x:t>
        </x:is>
      </x:c>
      <x:c r="G10" t="inlineStr">
        <x:is>
          <x:t xml:space="preserve">408</x:t>
        </x:is>
      </x:c>
      <x:c r="H10" t="inlineStr">
        <x:is>
          <x:t xml:space="preserve">成都</x:t>
        </x:is>
      </x:c>
      <x:c r="I10" t="inlineStr">
        <x:is>
          <x:t xml:space="preserve">待2028核验</x:t>
        </x:is>
      </x:c>
      <x:c r="J10" t="inlineStr">
        <x:is>
          <x:t xml:space="preserve">与048独立；PDF跨阶段证据冲突</x:t>
        </x:is>
      </x:c>
      <x:c r="K10" t="inlineStr">
        <x:is>
          <x:t xml:space="preserve">是</x:t>
        </x:is>
      </x:c>
      <x:c r="L10" t="inlineStr">
        <x:is>
          <x:t xml:space="preserve">是</x:t>
        </x:is>
      </x:c>
      <x:c r="M10" t="inlineStr">
        <x:is>
          <x:t xml:space="preserve">待确认</x:t>
        </x:is>
      </x:c>
      <x:c r="N10" t="str">
        <x:f>IF(OR(K10="否",L10="否",M10="否"),"排除",IF(AND(K10="是",L10="是",M10="是"),"候选","待确认"))</x:f>
        <x:v>待确认</x:v>
      </x:c>
      <x:c r="O10" t="str">
        <x:f>IF(I10="已核验2028",IF(N10="候选","2028资格已确认","未满足"),"2028资格未确认")</x:f>
        <x:v>2028资格未确认</x:v>
      </x:c>
      <x:c r="P10" t="str">
        <x:f>IF(N10="排除","硬约束不符",IF(N10="候选","手工硬约束符合-仅候选","硬约束待确认"))</x:f>
        <x:v>硬约束待确认</x:v>
      </x:c>
    </x:row>
    <x:row r="11">
      <x:c r="A11" t="inlineStr">
        <x:is>
          <x:t xml:space="preserve">P10</x:t>
        </x:is>
      </x:c>
      <x:c r="B11" t="inlineStr">
        <x:is>
          <x:t xml:space="preserve">西南交通大学</x:t>
        </x:is>
      </x:c>
      <x:c r="C11" t="inlineStr">
        <x:is>
          <x:t xml:space="preserve">048</x:t>
        </x:is>
      </x:c>
      <x:c r="D11" t="inlineStr">
        <x:is>
          <x:t xml:space="preserve">085410</x:t>
        </x:is>
      </x:c>
      <x:c r="E11" t="inlineStr">
        <x:is>
          <x:t xml:space="preserve">全日制</x:t>
        </x:is>
      </x:c>
      <x:c r="F11" t="inlineStr">
        <x:is>
          <x:t xml:space="preserve">人工智能</x:t>
        </x:is>
      </x:c>
      <x:c r="G11" t="inlineStr">
        <x:is>
          <x:t xml:space="preserve">408</x:t>
        </x:is>
      </x:c>
      <x:c r="H11" t="inlineStr">
        <x:is>
          <x:t xml:space="preserve">成都</x:t>
        </x:is>
      </x:c>
      <x:c r="I11" t="inlineStr">
        <x:is>
          <x:t xml:space="preserve">待2028核验</x:t>
        </x:is>
      </x:c>
      <x:c r="J11" t="inlineStr">
        <x:is>
          <x:t xml:space="preserve">与004独立；PDF跨阶段证据冲突</x:t>
        </x:is>
      </x:c>
      <x:c r="K11" t="inlineStr">
        <x:is>
          <x:t xml:space="preserve">是</x:t>
        </x:is>
      </x:c>
      <x:c r="L11" t="inlineStr">
        <x:is>
          <x:t xml:space="preserve">是</x:t>
        </x:is>
      </x:c>
      <x:c r="M11" t="inlineStr">
        <x:is>
          <x:t xml:space="preserve">待确认</x:t>
        </x:is>
      </x:c>
      <x:c r="N11" t="str">
        <x:f>IF(OR(K11="否",L11="否",M11="否"),"排除",IF(AND(K11="是",L11="是",M11="是"),"候选","待确认"))</x:f>
        <x:v>待确认</x:v>
      </x:c>
      <x:c r="O11" t="str">
        <x:f>IF(I11="已核验2028",IF(N11="候选","2028资格已确认","未满足"),"2028资格未确认")</x:f>
        <x:v>2028资格未确认</x:v>
      </x:c>
      <x:c r="P11" t="str">
        <x:f>IF(N11="排除","硬约束不符",IF(N11="候选","手工硬约束符合-仅候选","硬约束待确认"))</x:f>
        <x:v>硬约束待确认</x:v>
      </x:c>
    </x:row>
  </x:sheetData>
  <x:dataValidations count="3">
    <x:dataValidation type="list" allowBlank="0" showDropDown="0" showInputMessage="0" showErrorMessage="0" sqref="K2:K11">
      <x:formula1>"是,否,待确认"</x:formula1>
    </x:dataValidation>
    <x:dataValidation type="list" allowBlank="0" showDropDown="0" showInputMessage="0" showErrorMessage="0" sqref="L2:L11">
      <x:formula1>"是,否,待确认"</x:formula1>
    </x:dataValidation>
    <x:dataValidation type="list" allowBlank="0" showDropDown="0" showInputMessage="0" showErrorMessage="0" sqref="M2:M11">
      <x:formula1>"是,否,待确认"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style="12" customWidth="1"/>
    <x:col min="2" max="2" width="24" style="12" customWidth="1"/>
    <x:col min="3" max="3" width="20" style="12" customWidth="1"/>
    <x:col min="4" max="4" width="24" style="12" customWidth="1"/>
    <x:col min="5" max="5" width="22" style="12" customWidth="1"/>
    <x:col min="6" max="6" width="22" style="12" customWidth="1"/>
    <x:col min="7" max="7" width="65" style="12" customWidth="1"/>
    <x:col min="8" max="8" width="50" style="12" customWidth="1"/>
    <x:col min="9" max="9" width="16" style="12" customWidth="1"/>
    <x:col min="10" max="10" width="17" style="12" customWidth="1"/>
  </x:cols>
  <x:sheetData>
    <x:row r="1" s="12" customFormat="1" ht="30" customHeight="1">
      <x:c r="A1" s="3" t="inlineStr">
        <x:is>
          <x:t xml:space="preserve">路径ID</x:t>
        </x:is>
      </x:c>
      <x:c r="B1" s="3" t="inlineStr">
        <x:is>
          <x:t xml:space="preserve">职业与AI工程发展</x:t>
        </x:is>
      </x:c>
      <x:c r="C1" s="3" t="inlineStr">
        <x:is>
          <x:t xml:space="preserve">报考可行性</x:t>
        </x:is>
      </x:c>
      <x:c r="D1" s="3" t="inlineStr">
        <x:is>
          <x:t xml:space="preserve">研究方向与培养</x:t>
        </x:is>
      </x:c>
      <x:c r="E1" s="3" t="inlineStr">
        <x:is>
          <x:t xml:space="preserve">产业生态与地域</x:t>
        </x:is>
      </x:c>
      <x:c r="F1" s="3" t="inlineStr">
        <x:is>
          <x:t xml:space="preserve">成本与培养安排</x:t>
        </x:is>
      </x:c>
      <x:c r="G1" s="3" t="inlineStr">
        <x:is>
          <x:t xml:space="preserve">证据/评分理由</x:t>
        </x:is>
      </x:c>
      <x:c r="H1" s="3" t="inlineStr">
        <x:is>
          <x:t xml:space="preserve">来源ID/链接或材料</x:t>
        </x:is>
      </x:c>
      <x:c r="I1" s="3" t="inlineStr">
        <x:is>
          <x:t xml:space="preserve">已填维度数</x:t>
        </x:is>
      </x:c>
      <x:c r="J1" s="3" t="inlineStr">
        <x:is>
          <x:t xml:space="preserve">证据覆盖率</x:t>
        </x:is>
      </x:c>
    </x:row>
    <x:row r="2">
      <x:c r="A2" t="inlineStr">
        <x:is>
          <x:t xml:space="preserve">P01</x:t>
        </x:is>
      </x:c>
      <x:c r="G2" t="inlineStr">
        <x:is>
          <x:t xml:space="preserve">待用户按证据填写</x:t>
        </x:is>
      </x:c>
      <x:c r="H2" t="inlineStr">
        <x:is>
          <x:t xml:space="preserve">Phase2D报告；待逐条关联</x:t>
        </x:is>
      </x:c>
      <x:c r="I2" t="n">
        <x:f>IFERROR(SUMPRODUCT((ISNUMBER(B2:F2))*(N(B2:F2)&gt;=参数!$B$3)*(N(B2:F2)&lt;=参数!$B$4)*(N(B2:F2)=INT(N(B2:F2)))),0)*IF(TRIM(H2)&lt;&gt;"",1,0)</x:f>
        <x:v>0</x:v>
      </x:c>
      <x:c r="J2" s="30" t="n">
        <x:f>IFERROR(I2/5,0)</x:f>
        <x:v>0</x:v>
      </x:c>
    </x:row>
    <x:row r="3">
      <x:c r="A3" t="inlineStr">
        <x:is>
          <x:t xml:space="preserve">P02</x:t>
        </x:is>
      </x:c>
      <x:c r="G3" t="inlineStr">
        <x:is>
          <x:t xml:space="preserve">待用户按证据填写</x:t>
        </x:is>
      </x:c>
      <x:c r="H3" t="inlineStr">
        <x:is>
          <x:t xml:space="preserve">Phase2D报告；待逐条关联</x:t>
        </x:is>
      </x:c>
      <x:c r="I3" t="n">
        <x:f>IFERROR(SUMPRODUCT((ISNUMBER(B3:F3))*(N(B3:F3)&gt;=参数!$B$3)*(N(B3:F3)&lt;=参数!$B$4)*(N(B3:F3)=INT(N(B3:F3)))),0)*IF(TRIM(H3)&lt;&gt;"",1,0)</x:f>
        <x:v>0</x:v>
      </x:c>
      <x:c r="J3" s="30" t="n">
        <x:f>IFERROR(I3/5,0)</x:f>
        <x:v>0</x:v>
      </x:c>
    </x:row>
    <x:row r="4">
      <x:c r="A4" t="inlineStr">
        <x:is>
          <x:t xml:space="preserve">P03</x:t>
        </x:is>
      </x:c>
      <x:c r="G4" t="inlineStr">
        <x:is>
          <x:t xml:space="preserve">待用户按证据填写</x:t>
        </x:is>
      </x:c>
      <x:c r="H4" t="inlineStr">
        <x:is>
          <x:t xml:space="preserve">Phase2D报告；待逐条关联</x:t>
        </x:is>
      </x:c>
      <x:c r="I4" t="n">
        <x:f>IFERROR(SUMPRODUCT((ISNUMBER(B4:F4))*(N(B4:F4)&gt;=参数!$B$3)*(N(B4:F4)&lt;=参数!$B$4)*(N(B4:F4)=INT(N(B4:F4)))),0)*IF(TRIM(H4)&lt;&gt;"",1,0)</x:f>
        <x:v>0</x:v>
      </x:c>
      <x:c r="J4" s="30" t="n">
        <x:f>IFERROR(I4/5,0)</x:f>
        <x:v>0</x:v>
      </x:c>
    </x:row>
    <x:row r="5">
      <x:c r="A5" t="inlineStr">
        <x:is>
          <x:t xml:space="preserve">P04</x:t>
        </x:is>
      </x:c>
      <x:c r="G5" t="inlineStr">
        <x:is>
          <x:t xml:space="preserve">待用户按证据填写</x:t>
        </x:is>
      </x:c>
      <x:c r="H5" t="inlineStr">
        <x:is>
          <x:t xml:space="preserve">Phase2D报告；待逐条关联</x:t>
        </x:is>
      </x:c>
      <x:c r="I5" t="n">
        <x:f>IFERROR(SUMPRODUCT((ISNUMBER(B5:F5))*(N(B5:F5)&gt;=参数!$B$3)*(N(B5:F5)&lt;=参数!$B$4)*(N(B5:F5)=INT(N(B5:F5)))),0)*IF(TRIM(H5)&lt;&gt;"",1,0)</x:f>
        <x:v>0</x:v>
      </x:c>
      <x:c r="J5" s="30" t="n">
        <x:f>IFERROR(I5/5,0)</x:f>
        <x:v>0</x:v>
      </x:c>
    </x:row>
    <x:row r="6">
      <x:c r="A6" t="inlineStr">
        <x:is>
          <x:t xml:space="preserve">P05</x:t>
        </x:is>
      </x:c>
      <x:c r="G6" t="inlineStr">
        <x:is>
          <x:t xml:space="preserve">待用户按证据填写</x:t>
        </x:is>
      </x:c>
      <x:c r="H6" t="inlineStr">
        <x:is>
          <x:t xml:space="preserve">Phase2D报告；待逐条关联</x:t>
        </x:is>
      </x:c>
      <x:c r="I6" t="n">
        <x:f>IFERROR(SUMPRODUCT((ISNUMBER(B6:F6))*(N(B6:F6)&gt;=参数!$B$3)*(N(B6:F6)&lt;=参数!$B$4)*(N(B6:F6)=INT(N(B6:F6)))),0)*IF(TRIM(H6)&lt;&gt;"",1,0)</x:f>
        <x:v>0</x:v>
      </x:c>
      <x:c r="J6" s="30" t="n">
        <x:f>IFERROR(I6/5,0)</x:f>
        <x:v>0</x:v>
      </x:c>
    </x:row>
    <x:row r="7">
      <x:c r="A7" t="inlineStr">
        <x:is>
          <x:t xml:space="preserve">P06</x:t>
        </x:is>
      </x:c>
      <x:c r="G7" t="inlineStr">
        <x:is>
          <x:t xml:space="preserve">待用户按证据填写</x:t>
        </x:is>
      </x:c>
      <x:c r="H7" t="inlineStr">
        <x:is>
          <x:t xml:space="preserve">Phase2D报告；待逐条关联</x:t>
        </x:is>
      </x:c>
      <x:c r="I7" t="n">
        <x:f>IFERROR(SUMPRODUCT((ISNUMBER(B7:F7))*(N(B7:F7)&gt;=参数!$B$3)*(N(B7:F7)&lt;=参数!$B$4)*(N(B7:F7)=INT(N(B7:F7)))),0)*IF(TRIM(H7)&lt;&gt;"",1,0)</x:f>
        <x:v>0</x:v>
      </x:c>
      <x:c r="J7" s="30" t="n">
        <x:f>IFERROR(I7/5,0)</x:f>
        <x:v>0</x:v>
      </x:c>
    </x:row>
    <x:row r="8">
      <x:c r="A8" t="inlineStr">
        <x:is>
          <x:t xml:space="preserve">P07</x:t>
        </x:is>
      </x:c>
      <x:c r="G8" t="inlineStr">
        <x:is>
          <x:t xml:space="preserve">待用户按证据填写</x:t>
        </x:is>
      </x:c>
      <x:c r="H8" t="inlineStr">
        <x:is>
          <x:t xml:space="preserve">Phase2D报告；待逐条关联</x:t>
        </x:is>
      </x:c>
      <x:c r="I8" t="n">
        <x:f>IFERROR(SUMPRODUCT((ISNUMBER(B8:F8))*(N(B8:F8)&gt;=参数!$B$3)*(N(B8:F8)&lt;=参数!$B$4)*(N(B8:F8)=INT(N(B8:F8)))),0)*IF(TRIM(H8)&lt;&gt;"",1,0)</x:f>
        <x:v>0</x:v>
      </x:c>
      <x:c r="J8" s="30" t="n">
        <x:f>IFERROR(I8/5,0)</x:f>
        <x:v>0</x:v>
      </x:c>
    </x:row>
    <x:row r="9">
      <x:c r="A9" t="inlineStr">
        <x:is>
          <x:t xml:space="preserve">P08</x:t>
        </x:is>
      </x:c>
      <x:c r="G9" t="inlineStr">
        <x:is>
          <x:t xml:space="preserve">待用户按证据填写</x:t>
        </x:is>
      </x:c>
      <x:c r="H9" t="inlineStr">
        <x:is>
          <x:t xml:space="preserve">Phase2D报告；待逐条关联</x:t>
        </x:is>
      </x:c>
      <x:c r="I9" t="n">
        <x:f>IFERROR(SUMPRODUCT((ISNUMBER(B9:F9))*(N(B9:F9)&gt;=参数!$B$3)*(N(B9:F9)&lt;=参数!$B$4)*(N(B9:F9)=INT(N(B9:F9)))),0)*IF(TRIM(H9)&lt;&gt;"",1,0)</x:f>
        <x:v>0</x:v>
      </x:c>
      <x:c r="J9" s="30" t="n">
        <x:f>IFERROR(I9/5,0)</x:f>
        <x:v>0</x:v>
      </x:c>
    </x:row>
    <x:row r="10">
      <x:c r="A10" t="inlineStr">
        <x:is>
          <x:t xml:space="preserve">P09</x:t>
        </x:is>
      </x:c>
      <x:c r="G10" t="inlineStr">
        <x:is>
          <x:t xml:space="preserve">待用户按证据填写</x:t>
        </x:is>
      </x:c>
      <x:c r="H10" t="inlineStr">
        <x:is>
          <x:t xml:space="preserve">Phase2D报告；待逐条关联</x:t>
        </x:is>
      </x:c>
      <x:c r="I10" t="n">
        <x:f>IFERROR(SUMPRODUCT((ISNUMBER(B10:F10))*(N(B10:F10)&gt;=参数!$B$3)*(N(B10:F10)&lt;=参数!$B$4)*(N(B10:F10)=INT(N(B10:F10)))),0)*IF(TRIM(H10)&lt;&gt;"",1,0)</x:f>
        <x:v>0</x:v>
      </x:c>
      <x:c r="J10" s="30" t="n">
        <x:f>IFERROR(I10/5,0)</x:f>
        <x:v>0</x:v>
      </x:c>
    </x:row>
    <x:row r="11">
      <x:c r="A11" t="inlineStr">
        <x:is>
          <x:t xml:space="preserve">P10</x:t>
        </x:is>
      </x:c>
      <x:c r="G11" t="inlineStr">
        <x:is>
          <x:t xml:space="preserve">待用户按证据填写</x:t>
        </x:is>
      </x:c>
      <x:c r="H11" t="inlineStr">
        <x:is>
          <x:t xml:space="preserve">Phase2D报告；待逐条关联</x:t>
        </x:is>
      </x:c>
      <x:c r="I11" t="n">
        <x:f>IFERROR(SUMPRODUCT((ISNUMBER(B11:F11))*(N(B11:F11)&gt;=参数!$B$3)*(N(B11:F11)&lt;=参数!$B$4)*(N(B11:F11)=INT(N(B11:F11)))),0)*IF(TRIM(H11)&lt;&gt;"",1,0)</x:f>
        <x:v>0</x:v>
      </x:c>
      <x:c r="J11" s="30" t="n">
        <x:f>IFERROR(I11/5,0)</x:f>
        <x:v>0</x:v>
      </x:c>
    </x:row>
  </x:sheetData>
  <x:dataValidations count="1">
    <x:dataValidation type="list" allowBlank="0" showDropDown="0" showInputMessage="0" showErrorMessage="0" sqref="B2:F11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style="12" customWidth="1"/>
    <x:col min="2" max="2" width="23" style="12" customWidth="1"/>
    <x:col min="3" max="3" width="16" style="12" customWidth="1"/>
    <x:col min="4" max="4" width="16" style="12" customWidth="1"/>
    <x:col min="5" max="5" width="21" style="12" customWidth="1"/>
    <x:col min="6" max="6" width="27" style="12" customWidth="1"/>
    <x:col min="7" max="7" width="20" style="12" customWidth="1"/>
    <x:col min="8" max="8" width="55" style="12" customWidth="1"/>
  </x:cols>
  <x:sheetData>
    <x:row r="1" s="12" customFormat="1" ht="30" customHeight="1">
      <x:c r="A1" s="3" t="inlineStr">
        <x:is>
          <x:t xml:space="preserve">路径ID</x:t>
        </x:is>
      </x:c>
      <x:c r="B1" s="3" t="inlineStr">
        <x:is>
          <x:t xml:space="preserve">学校</x:t>
        </x:is>
      </x:c>
      <x:c r="C1" s="3" t="inlineStr">
        <x:is>
          <x:t xml:space="preserve">专业</x:t>
        </x:is>
      </x:c>
      <x:c r="D1" s="3" t="inlineStr">
        <x:is>
          <x:t xml:space="preserve">准入状态</x:t>
        </x:is>
      </x:c>
      <x:c r="E1" s="3" t="inlineStr">
        <x:is>
          <x:t xml:space="preserve">已知权重覆盖率</x:t>
        </x:is>
      </x:c>
      <x:c r="F1" s="3" t="inlineStr">
        <x:is>
          <x:t xml:space="preserve">已知证据加权分(1-5)</x:t>
        </x:is>
      </x:c>
      <x:c r="G1" s="3" t="inlineStr">
        <x:is>
          <x:t xml:space="preserve">比较资格</x:t>
        </x:is>
      </x:c>
      <x:c r="H1" s="3" t="inlineStr">
        <x:is>
          <x:t xml:space="preserve">决策备注</x:t>
        </x:is>
      </x:c>
    </x:row>
    <x:row r="2">
      <x:c r="A2" t="inlineStr">
        <x:is>
          <x:t xml:space="preserve">P01</x:t>
        </x:is>
      </x:c>
      <x:c r="B2" t="str">
        <x:f>路径!B2</x:f>
        <x:v>北京邮电大学</x:v>
      </x:c>
      <x:c r="C2" t="str">
        <x:f>路径!D2</x:f>
        <x:v>085410</x:v>
      </x:c>
      <x:c r="D2" t="str">
        <x:f>路径!N2</x:f>
        <x:v>待确认</x:v>
      </x:c>
      <x:c r="E2" s="30" t="n">
        <x:f>IFERROR(SUMPRODUCT(--ISNUMBER('证据评分'!B2:F2),权重!$B$2:$B$6)/SUM(权重!$B$2:$B$6),0)</x:f>
        <x:v>0</x:v>
      </x:c>
      <x:c r="F2" s="31" t="str">
        <x:f>IFERROR(SUMPRODUCT('证据评分'!B2:F2,权重!$B$2:$B$6)/SUMPRODUCT(--ISNUMBER('证据评分'!B2:F2),权重!$B$2:$B$6),"")</x:f>
      </x:c>
      <x:c r="G2" t="str">
        <x:f>IF(D2="排除","排除",IF(D2&lt;&gt;"候选","待核硬约束",IF(E2&lt;0.8,"证据不足","可比较(非录取预测)")))</x:f>
        <x:v>待核硬约束</x:v>
      </x:c>
      <x:c r="H2" t="inlineStr">
        <x:is>
          <x:t xml:space="preserve">待补证/待评分；不构成推荐</x:t>
        </x:is>
      </x:c>
    </x:row>
    <x:row r="3">
      <x:c r="A3" t="inlineStr">
        <x:is>
          <x:t xml:space="preserve">P02</x:t>
        </x:is>
      </x:c>
      <x:c r="B3" t="str">
        <x:f>路径!B3</x:f>
        <x:v>北京邮电大学</x:v>
      </x:c>
      <x:c r="C3" t="str">
        <x:f>路径!D3</x:f>
        <x:v>085410</x:v>
      </x:c>
      <x:c r="D3" t="str">
        <x:f>路径!N3</x:f>
        <x:v>待确认</x:v>
      </x:c>
      <x:c r="E3" s="30" t="n">
        <x:f>IFERROR(SUMPRODUCT(--ISNUMBER('证据评分'!B3:F3),权重!$B$2:$B$6)/SUM(权重!$B$2:$B$6),0)</x:f>
        <x:v>0</x:v>
      </x:c>
      <x:c r="F3" s="31" t="str">
        <x:f>IFERROR(SUMPRODUCT('证据评分'!B3:F3,权重!$B$2:$B$6)/SUMPRODUCT(--ISNUMBER('证据评分'!B3:F3),权重!$B$2:$B$6),"")</x:f>
      </x:c>
      <x:c r="G3" t="str">
        <x:f>IF(D3="排除","排除",IF(D3&lt;&gt;"候选","待核硬约束",IF(E3&lt;0.8,"证据不足","可比较(非录取预测)")))</x:f>
        <x:v>待核硬约束</x:v>
      </x:c>
      <x:c r="H3" t="inlineStr">
        <x:is>
          <x:t xml:space="preserve">待补证/待评分；不构成推荐</x:t>
        </x:is>
      </x:c>
    </x:row>
    <x:row r="4">
      <x:c r="A4" t="inlineStr">
        <x:is>
          <x:t xml:space="preserve">P03</x:t>
        </x:is>
      </x:c>
      <x:c r="B4" t="str">
        <x:f>路径!B4</x:f>
        <x:v>电子科技大学</x:v>
      </x:c>
      <x:c r="C4" t="str">
        <x:f>路径!D4</x:f>
        <x:v>085404</x:v>
      </x:c>
      <x:c r="D4" t="str">
        <x:f>路径!N4</x:f>
        <x:v>待确认</x:v>
      </x:c>
      <x:c r="E4" s="30" t="n">
        <x:f>IFERROR(SUMPRODUCT(--ISNUMBER('证据评分'!B4:F4),权重!$B$2:$B$6)/SUM(权重!$B$2:$B$6),0)</x:f>
        <x:v>0</x:v>
      </x:c>
      <x:c r="F4" s="31" t="str">
        <x:f>IFERROR(SUMPRODUCT('证据评分'!B4:F4,权重!$B$2:$B$6)/SUMPRODUCT(--ISNUMBER('证据评分'!B4:F4),权重!$B$2:$B$6),"")</x:f>
      </x:c>
      <x:c r="G4" t="str">
        <x:f>IF(D4="排除","排除",IF(D4&lt;&gt;"候选","待核硬约束",IF(E4&lt;0.8,"证据不足","可比较(非录取预测)")))</x:f>
        <x:v>待核硬约束</x:v>
      </x:c>
      <x:c r="H4" t="inlineStr">
        <x:is>
          <x:t xml:space="preserve">待补证/待评分；不构成推荐</x:t>
        </x:is>
      </x:c>
    </x:row>
    <x:row r="5">
      <x:c r="A5" t="inlineStr">
        <x:is>
          <x:t xml:space="preserve">P04</x:t>
        </x:is>
      </x:c>
      <x:c r="B5" t="str">
        <x:f>路径!B5</x:f>
        <x:v>电子科技大学</x:v>
      </x:c>
      <x:c r="C5" t="str">
        <x:f>路径!D5</x:f>
        <x:v>085404</x:v>
      </x:c>
      <x:c r="D5" t="str">
        <x:f>路径!N5</x:f>
        <x:v>待确认</x:v>
      </x:c>
      <x:c r="E5" s="30" t="n">
        <x:f>IFERROR(SUMPRODUCT(--ISNUMBER('证据评分'!B5:F5),权重!$B$2:$B$6)/SUM(权重!$B$2:$B$6),0)</x:f>
        <x:v>0</x:v>
      </x:c>
      <x:c r="F5" s="31" t="str">
        <x:f>IFERROR(SUMPRODUCT('证据评分'!B5:F5,权重!$B$2:$B$6)/SUMPRODUCT(--ISNUMBER('证据评分'!B5:F5),权重!$B$2:$B$6),"")</x:f>
      </x:c>
      <x:c r="G5" t="str">
        <x:f>IF(D5="排除","排除",IF(D5&lt;&gt;"候选","待核硬约束",IF(E5&lt;0.8,"证据不足","可比较(非录取预测)")))</x:f>
        <x:v>待核硬约束</x:v>
      </x:c>
      <x:c r="H5" t="inlineStr">
        <x:is>
          <x:t xml:space="preserve">待补证/待评分；不构成推荐</x:t>
        </x:is>
      </x:c>
    </x:row>
    <x:row r="6">
      <x:c r="A6" t="inlineStr">
        <x:is>
          <x:t xml:space="preserve">P05</x:t>
        </x:is>
      </x:c>
      <x:c r="B6" t="str">
        <x:f>路径!B6</x:f>
        <x:v>东南大学</x:v>
      </x:c>
      <x:c r="C6" t="str">
        <x:f>路径!D6</x:f>
        <x:v>085410</x:v>
      </x:c>
      <x:c r="D6" t="str">
        <x:f>路径!N6</x:f>
        <x:v>待确认</x:v>
      </x:c>
      <x:c r="E6" s="30" t="n">
        <x:f>IFERROR(SUMPRODUCT(--ISNUMBER('证据评分'!B6:F6),权重!$B$2:$B$6)/SUM(权重!$B$2:$B$6),0)</x:f>
        <x:v>0</x:v>
      </x:c>
      <x:c r="F6" s="31" t="str">
        <x:f>IFERROR(SUMPRODUCT('证据评分'!B6:F6,权重!$B$2:$B$6)/SUMPRODUCT(--ISNUMBER('证据评分'!B6:F6),权重!$B$2:$B$6),"")</x:f>
      </x:c>
      <x:c r="G6" t="str">
        <x:f>IF(D6="排除","排除",IF(D6&lt;&gt;"候选","待核硬约束",IF(E6&lt;0.8,"证据不足","可比较(非录取预测)")))</x:f>
        <x:v>待核硬约束</x:v>
      </x:c>
      <x:c r="H6" t="inlineStr">
        <x:is>
          <x:t xml:space="preserve">待补证/待评分；不构成推荐</x:t>
        </x:is>
      </x:c>
    </x:row>
    <x:row r="7">
      <x:c r="A7" t="inlineStr">
        <x:is>
          <x:t xml:space="preserve">P06</x:t>
        </x:is>
      </x:c>
      <x:c r="B7" t="str">
        <x:f>路径!B7</x:f>
        <x:v>合肥工业大学</x:v>
      </x:c>
      <x:c r="C7" t="str">
        <x:f>路径!D7</x:f>
        <x:v>085410</x:v>
      </x:c>
      <x:c r="D7" t="str">
        <x:f>路径!N7</x:f>
        <x:v>待确认</x:v>
      </x:c>
      <x:c r="E7" s="30" t="n">
        <x:f>IFERROR(SUMPRODUCT(--ISNUMBER('证据评分'!B7:F7),权重!$B$2:$B$6)/SUM(权重!$B$2:$B$6),0)</x:f>
        <x:v>0</x:v>
      </x:c>
      <x:c r="F7" s="31" t="str">
        <x:f>IFERROR(SUMPRODUCT('证据评分'!B7:F7,权重!$B$2:$B$6)/SUMPRODUCT(--ISNUMBER('证据评分'!B7:F7),权重!$B$2:$B$6),"")</x:f>
      </x:c>
      <x:c r="G7" t="str">
        <x:f>IF(D7="排除","排除",IF(D7&lt;&gt;"候选","待核硬约束",IF(E7&lt;0.8,"证据不足","可比较(非录取预测)")))</x:f>
        <x:v>待核硬约束</x:v>
      </x:c>
      <x:c r="H7" t="inlineStr">
        <x:is>
          <x:t xml:space="preserve">待补证/待评分；不构成推荐</x:t>
        </x:is>
      </x:c>
    </x:row>
    <x:row r="8">
      <x:c r="A8" t="inlineStr">
        <x:is>
          <x:t xml:space="preserve">P07</x:t>
        </x:is>
      </x:c>
      <x:c r="B8" t="str">
        <x:f>路径!B8</x:f>
        <x:v>合肥工业大学</x:v>
      </x:c>
      <x:c r="C8" t="str">
        <x:f>路径!D8</x:f>
        <x:v>085410</x:v>
      </x:c>
      <x:c r="D8" t="str">
        <x:f>路径!N8</x:f>
        <x:v>待确认</x:v>
      </x:c>
      <x:c r="E8" s="30" t="n">
        <x:f>IFERROR(SUMPRODUCT(--ISNUMBER('证据评分'!B8:F8),权重!$B$2:$B$6)/SUM(权重!$B$2:$B$6),0)</x:f>
        <x:v>0</x:v>
      </x:c>
      <x:c r="F8" s="31" t="str">
        <x:f>IFERROR(SUMPRODUCT('证据评分'!B8:F8,权重!$B$2:$B$6)/SUMPRODUCT(--ISNUMBER('证据评分'!B8:F8),权重!$B$2:$B$6),"")</x:f>
      </x:c>
      <x:c r="G8" t="str">
        <x:f>IF(D8="排除","排除",IF(D8&lt;&gt;"候选","待核硬约束",IF(E8&lt;0.8,"证据不足","可比较(非录取预测)")))</x:f>
        <x:v>待核硬约束</x:v>
      </x:c>
      <x:c r="H8" t="inlineStr">
        <x:is>
          <x:t xml:space="preserve">待补证/待评分；不构成推荐</x:t>
        </x:is>
      </x:c>
    </x:row>
    <x:row r="9">
      <x:c r="A9" t="inlineStr">
        <x:is>
          <x:t xml:space="preserve">P08</x:t>
        </x:is>
      </x:c>
      <x:c r="B9" t="str">
        <x:f>路径!B9</x:f>
        <x:v>合肥工业大学</x:v>
      </x:c>
      <x:c r="C9" t="str">
        <x:f>路径!D9</x:f>
        <x:v>085410</x:v>
      </x:c>
      <x:c r="D9" t="str">
        <x:f>路径!N9</x:f>
        <x:v>待确认</x:v>
      </x:c>
      <x:c r="E9" s="30" t="n">
        <x:f>IFERROR(SUMPRODUCT(--ISNUMBER('证据评分'!B9:F9),权重!$B$2:$B$6)/SUM(权重!$B$2:$B$6),0)</x:f>
        <x:v>0</x:v>
      </x:c>
      <x:c r="F9" s="31" t="str">
        <x:f>IFERROR(SUMPRODUCT('证据评分'!B9:F9,权重!$B$2:$B$6)/SUMPRODUCT(--ISNUMBER('证据评分'!B9:F9),权重!$B$2:$B$6),"")</x:f>
      </x:c>
      <x:c r="G9" t="str">
        <x:f>IF(D9="排除","排除",IF(D9&lt;&gt;"候选","待核硬约束",IF(E9&lt;0.8,"证据不足","可比较(非录取预测)")))</x:f>
        <x:v>待核硬约束</x:v>
      </x:c>
      <x:c r="H9" t="inlineStr">
        <x:is>
          <x:t xml:space="preserve">待补证/待评分；不构成推荐</x:t>
        </x:is>
      </x:c>
    </x:row>
    <x:row r="10">
      <x:c r="A10" t="inlineStr">
        <x:is>
          <x:t xml:space="preserve">P09</x:t>
        </x:is>
      </x:c>
      <x:c r="B10" t="str">
        <x:f>路径!B10</x:f>
        <x:v>西南交通大学</x:v>
      </x:c>
      <x:c r="C10" t="str">
        <x:f>路径!D10</x:f>
        <x:v>085410</x:v>
      </x:c>
      <x:c r="D10" t="str">
        <x:f>路径!N10</x:f>
        <x:v>待确认</x:v>
      </x:c>
      <x:c r="E10" s="30" t="n">
        <x:f>IFERROR(SUMPRODUCT(--ISNUMBER('证据评分'!B10:F10),权重!$B$2:$B$6)/SUM(权重!$B$2:$B$6),0)</x:f>
        <x:v>0</x:v>
      </x:c>
      <x:c r="F10" s="31" t="str">
        <x:f>IFERROR(SUMPRODUCT('证据评分'!B10:F10,权重!$B$2:$B$6)/SUMPRODUCT(--ISNUMBER('证据评分'!B10:F10),权重!$B$2:$B$6),"")</x:f>
      </x:c>
      <x:c r="G10" t="str">
        <x:f>IF(D10="排除","排除",IF(D10&lt;&gt;"候选","待核硬约束",IF(E10&lt;0.8,"证据不足","可比较(非录取预测)")))</x:f>
        <x:v>待核硬约束</x:v>
      </x:c>
      <x:c r="H10" t="inlineStr">
        <x:is>
          <x:t xml:space="preserve">待补证/待评分；不构成推荐</x:t>
        </x:is>
      </x:c>
    </x:row>
    <x:row r="11">
      <x:c r="A11" t="inlineStr">
        <x:is>
          <x:t xml:space="preserve">P10</x:t>
        </x:is>
      </x:c>
      <x:c r="B11" t="str">
        <x:f>路径!B11</x:f>
        <x:v>西南交通大学</x:v>
      </x:c>
      <x:c r="C11" t="str">
        <x:f>路径!D11</x:f>
        <x:v>085410</x:v>
      </x:c>
      <x:c r="D11" t="str">
        <x:f>路径!N11</x:f>
        <x:v>待确认</x:v>
      </x:c>
      <x:c r="E11" s="30" t="n">
        <x:f>IFERROR(SUMPRODUCT(--ISNUMBER('证据评分'!B11:F11),权重!$B$2:$B$6)/SUM(权重!$B$2:$B$6),0)</x:f>
        <x:v>0</x:v>
      </x:c>
      <x:c r="F11" s="31" t="str">
        <x:f>IFERROR(SUMPRODUCT('证据评分'!B11:F11,权重!$B$2:$B$6)/SUMPRODUCT(--ISNUMBER('证据评分'!B11:F11),权重!$B$2:$B$6),"")</x:f>
      </x:c>
      <x:c r="G11" t="str">
        <x:f>IF(D11="排除","排除",IF(D11&lt;&gt;"候选","待核硬约束",IF(E11&lt;0.8,"证据不足","可比较(非录取预测)")))</x:f>
        <x:v>待核硬约束</x:v>
      </x:c>
      <x:c r="H11" t="inlineStr">
        <x:is>
          <x:t xml:space="preserve">待补证/待评分；不构成推荐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style="12" customWidth="1"/>
    <x:col min="2" max="2" width="43" style="12" customWidth="1"/>
    <x:col min="3" max="3" width="50" style="12" customWidth="1"/>
    <x:col min="4" max="4" width="55" style="12" customWidth="1"/>
    <x:col min="5" max="5" width="45" style="12" customWidth="1"/>
  </x:cols>
  <x:sheetData>
    <x:row r="1" s="12" customFormat="1" ht="30" customHeight="1">
      <x:c r="A1" s="3" t="inlineStr">
        <x:is>
          <x:t xml:space="preserve">路径</x:t>
        </x:is>
      </x:c>
      <x:c r="B1" s="3" t="inlineStr">
        <x:is>
          <x:t xml:space="preserve">触发条件</x:t>
        </x:is>
      </x:c>
      <x:c r="C1" s="3" t="inlineStr">
        <x:is>
          <x:t xml:space="preserve">行动</x:t>
        </x:is>
      </x:c>
      <x:c r="D1" s="3" t="inlineStr">
        <x:is>
          <x:t xml:space="preserve">必须满足</x:t>
        </x:is>
      </x:c>
      <x:c r="E1" s="3" t="inlineStr">
        <x:is>
          <x:t xml:space="preserve">不能推出</x:t>
        </x:is>
      </x:c>
    </x:row>
    <x:row r="2">
      <x:c r="A2" t="inlineStr">
        <x:is>
          <x:t xml:space="preserve">一志愿录取</x:t>
        </x:is>
      </x:c>
      <x:c r="B2" t="inlineStr">
        <x:is>
          <x:t xml:space="preserve">符合当年报考条件且取得录取</x:t>
        </x:is>
      </x:c>
      <x:c r="C2" t="inlineStr">
        <x:is>
          <x:t xml:space="preserve">读研/验证导师资源</x:t>
        </x:is>
      </x:c>
      <x:c r="D2" t="inlineStr">
        <x:is>
          <x:t xml:space="preserve">全日制及培养价值符合</x:t>
        </x:is>
      </x:c>
      <x:c r="E2" t="inlineStr">
        <x:is>
          <x:t xml:space="preserve">有导师主页≠可被录取</x:t>
        </x:is>
      </x:c>
    </x:row>
    <x:row r="3">
      <x:c r="A3" t="inlineStr">
        <x:is>
          <x:t xml:space="preserve">调剂</x:t>
        </x:is>
      </x:c>
      <x:c r="B3" t="inlineStr">
        <x:is>
          <x:t xml:space="preserve">一志愿未录取且有真实调剂机会</x:t>
        </x:is>
      </x:c>
      <x:c r="C3" t="inlineStr">
        <x:is>
          <x:t xml:space="preserve">仅核验后接受值得读的项目</x:t>
        </x:is>
      </x:c>
      <x:c r="D3" t="inlineStr">
        <x:is>
          <x:t xml:space="preserve">学校/专业/培养质量与就业价值过线</x:t>
        </x:is>
      </x:c>
      <x:c r="E3" t="inlineStr">
        <x:is>
          <x:t xml:space="preserve">不能假定有调剂名额</x:t>
        </x:is>
      </x:c>
    </x:row>
    <x:row r="4">
      <x:c r="A4" t="inlineStr">
        <x:is>
          <x:t xml:space="preserve">直接就业</x:t>
        </x:is>
      </x:c>
      <x:c r="B4" t="inlineStr">
        <x:is>
          <x:t xml:space="preserve">未录取或无值得接受的调剂</x:t>
        </x:is>
      </x:c>
      <x:c r="C4" t="inlineStr">
        <x:is>
          <x:t xml:space="preserve">AI工程项目+实习+求职</x:t>
        </x:is>
      </x:c>
      <x:c r="D4" t="inlineStr">
        <x:is>
          <x:t xml:space="preserve">可执行的求职准备与缓冲</x:t>
        </x:is>
      </x:c>
      <x:c r="E4" t="inlineStr">
        <x:is>
          <x:t xml:space="preserve">不以考研失败推定就业失败</x:t>
        </x:is>
      </x:c>
    </x:row>
    <x:row r="5">
      <x:c r="A5" t="inlineStr">
        <x:is>
          <x:t xml:space="preserve">二战</x:t>
        </x:is>
      </x:c>
      <x:c r="B5" t="inlineStr">
        <x:is>
          <x:t xml:space="preserve">不接受</x:t>
        </x:is>
      </x:c>
      <x:c r="C5" t="inlineStr">
        <x:is>
          <x:t xml:space="preserve">排除</x:t>
        </x:is>
      </x:c>
      <x:c r="D5" t="inlineStr">
        <x:is>
          <x:t xml:space="preserve">用户硬约束</x:t>
        </x:is>
      </x:c>
      <x:c r="E5" t="inlineStr">
        <x:is>
          <x:t xml:space="preserve">—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style="12" customWidth="1"/>
    <x:col min="2" max="2" width="29" style="12" customWidth="1"/>
    <x:col min="3" max="3" width="66" style="12" customWidth="1"/>
    <x:col min="4" max="4" width="35" style="12" customWidth="1"/>
    <x:col min="5" max="5" width="22" style="12" customWidth="1"/>
  </x:cols>
  <x:sheetData>
    <x:row r="1" s="12" customFormat="1" ht="30" customHeight="1">
      <x:c r="A1" s="3" t="inlineStr">
        <x:is>
          <x:t xml:space="preserve">优先级</x:t>
        </x:is>
      </x:c>
      <x:c r="B1" s="3" t="inlineStr">
        <x:is>
          <x:t xml:space="preserve">学校/路径</x:t>
        </x:is>
      </x:c>
      <x:c r="C1" s="3" t="inlineStr">
        <x:is>
          <x:t xml:space="preserve">待核内容</x:t>
        </x:is>
      </x:c>
      <x:c r="D1" s="3" t="inlineStr">
        <x:is>
          <x:t xml:space="preserve">决策影响</x:t>
        </x:is>
      </x:c>
      <x:c r="E1" s="3" t="inlineStr">
        <x:is>
          <x:t xml:space="preserve">状态</x:t>
        </x:is>
      </x:c>
    </x:row>
    <x:row r="2">
      <x:c r="A2" t="inlineStr">
        <x:is>
          <x:t xml:space="preserve">P0</x:t>
        </x:is>
      </x:c>
      <x:c r="B2" t="inlineStr">
        <x:is>
          <x:t xml:space="preserve">北邮005</x:t>
        </x:is>
      </x:c>
      <x:c r="C2" t="inlineStr">
        <x:is>
          <x:t xml:space="preserve">2027目录原件、方向01/02科目与名额</x:t>
        </x:is>
      </x:c>
      <x:c r="D2" t="inlineStr">
        <x:is>
          <x:t xml:space="preserve">备考路径</x:t>
        </x:is>
      </x:c>
      <x:c r="E2" t="inlineStr">
        <x:is>
          <x:t xml:space="preserve">已闭合（原：未闭合）</x:t>
        </x:is>
      </x:c>
    </x:row>
    <x:row r="3">
      <x:c r="A3" t="inlineStr">
        <x:is>
          <x:t xml:space="preserve">P0</x:t>
        </x:is>
      </x:c>
      <x:c r="B3" t="inlineStr">
        <x:is>
          <x:t xml:space="preserve">西南交大004/048</x:t>
        </x:is>
      </x:c>
      <x:c r="C3" t="inlineStr">
        <x:is>
          <x:t xml:space="preserve">2027 PDF是否实际取得，跨阶段证据状态冲突</x:t>
        </x:is>
      </x:c>
      <x:c r="D3" t="inlineStr">
        <x:is>
          <x:t xml:space="preserve">人数与科目可信度</x:t>
        </x:is>
      </x:c>
      <x:c r="E3" t="inlineStr">
        <x:is>
          <x:t xml:space="preserve">冲突</x:t>
        </x:is>
      </x:c>
    </x:row>
    <x:row r="4">
      <x:c r="A4" t="inlineStr">
        <x:is>
          <x:t xml:space="preserve">P1</x:t>
        </x:is>
      </x:c>
      <x:c r="B4" t="inlineStr">
        <x:is>
          <x:t xml:space="preserve">五校</x:t>
        </x:is>
      </x:c>
      <x:c r="C4" t="inlineStr">
        <x:is>
          <x:t xml:space="preserve">2028年度正式目录/统考计划</x:t>
        </x:is>
      </x:c>
      <x:c r="D4" t="inlineStr">
        <x:is>
          <x:t xml:space="preserve">最终准入</x:t>
        </x:is>
      </x:c>
      <x:c r="E4" t="inlineStr">
        <x:is>
          <x:t xml:space="preserve">未发布/待核</x:t>
        </x:is>
      </x:c>
    </x:row>
    <x:row r="5">
      <x:c r="A5" t="inlineStr">
        <x:is>
          <x:t xml:space="preserve">P1</x:t>
        </x:is>
      </x:c>
      <x:c r="B5" t="inlineStr">
        <x:is>
          <x:t xml:space="preserve">电子科大028</x:t>
        </x:is>
      </x:c>
      <x:c r="C5" t="inlineStr">
        <x:is>
          <x:t xml:space="preserve">2026统考计划40与目录68、推免数口径</x:t>
        </x:is>
      </x:c>
      <x:c r="D5" t="inlineStr">
        <x:is>
          <x:t xml:space="preserve">名额风险</x:t>
        </x:is>
      </x:c>
      <x:c r="E5" t="inlineStr">
        <x:is>
          <x:t xml:space="preserve">部分核实</x:t>
        </x:is>
      </x:c>
    </x:row>
    <x:row r="6">
      <x:c r="A6" t="inlineStr">
        <x:is>
          <x:t xml:space="preserve">P1</x:t>
        </x:is>
      </x:c>
      <x:c r="B6" t="inlineStr">
        <x:is>
          <x:t xml:space="preserve">东南009</x:t>
        </x:is>
      </x:c>
      <x:c r="C6" t="inlineStr">
        <x:is>
          <x:t xml:space="preserve">目录拟考与复试统考人数差异</x:t>
        </x:is>
      </x:c>
      <x:c r="D6" t="inlineStr">
        <x:is>
          <x:t xml:space="preserve">名额风险</x:t>
        </x:is>
      </x:c>
      <x:c r="E6" t="inlineStr">
        <x:is>
          <x:t xml:space="preserve">不同口径</x:t>
        </x:is>
      </x:c>
    </x:row>
    <x:row r="7">
      <x:c r="A7" t="inlineStr">
        <x:is>
          <x:t xml:space="preserve">P1</x:t>
        </x:is>
      </x:c>
      <x:c r="B7" t="inlineStr">
        <x:is>
          <x:t xml:space="preserve">各校算力平台</x:t>
        </x:is>
      </x:c>
      <x:c r="C7" t="inlineStr">
        <x:is>
          <x:t xml:space="preserve">目标专业专硕实际使用资格</x:t>
        </x:is>
      </x:c>
      <x:c r="D7" t="inlineStr">
        <x:is>
          <x:t xml:space="preserve">资源可进入性</x:t>
        </x:is>
      </x:c>
      <x:c r="E7" t="inlineStr">
        <x:is>
          <x:t xml:space="preserve">仅P2/P3</x:t>
        </x:is>
      </x:c>
    </x:row>
    <x:row r="8">
      <x:c r="A8" t="inlineStr">
        <x:is>
          <x:t xml:space="preserve">P2</x:t>
        </x:is>
      </x:c>
      <x:c r="B8" t="inlineStr">
        <x:is>
          <x:t xml:space="preserve">合工大021</x:t>
        </x:is>
      </x:c>
      <x:c r="C8" t="inlineStr">
        <x:is>
          <x:t xml:space="preserve">入企实践、住宿与培养地点</x:t>
        </x:is>
      </x:c>
      <x:c r="D8" t="inlineStr">
        <x:is>
          <x:t xml:space="preserve">成本安排</x:t>
        </x:is>
      </x:c>
      <x:c r="E8" t="inlineStr">
        <x:is>
          <x:t xml:space="preserve">待核</x:t>
        </x:is>
      </x:c>
    </x:row>
    <x:row r="9">
      <x:c r="A9" t="inlineStr">
        <x:is>
          <x:t xml:space="preserve">P0</x:t>
        </x:is>
      </x:c>
      <x:c r="B9" t="inlineStr">
        <x:is>
          <x:t xml:space="preserve">北邮005</x:t>
        </x:is>
      </x:c>
      <x:c r="C9" t="inlineStr">
        <x:is>
          <x:t xml:space="preserve">【Phase5.0 闭合】2027 目录原件缺失已闭合（核验日期 2026-10-16）。官方来源：北京邮电大学研究生招生网《2027年人工智能学院硕士专业目录》https://yzb.bupt.edu.cn/info/1018/1482.htm（页面标注发布时间 2026-10-04）；配套官方公告《2027年硕士研究生招生考试初试科目调整公告》https://yzb.bupt.edu.cn/info/1031/1412.htm（发布时间 2026-06-09，落款 北京邮电大学 招生处）。原文快照：data/raw/bupt_2027/2027_人工智能学院硕士专业目录_1482.txt、data/raw/bupt_2027/2027_初试科目调整公告_1412.txt。对应已核验事实：005 人工智能学院合计 272 人；085410 人工智能 132 人（此专业为专业学位）；方向01 人工智能与信息网络 43 人、初试第四单元 801 通信原理；方向02 人工智能与大数据 89 人、初试第四单元 408 计算机学科专业基础；085410 初试业务课由《809数据结构》调整为《408计算机学科专业基础》；名额口径为目录计划数（含推免），非统考计划、非实际录取。自洽校验：43+89=132，2+132+138=272。**以上全部 适用2027，非2028，不构成 2028 已确认事实。**原记录：P0 北邮005「2027目录原件、方向01/02科目与名额」，原状态 未闭合。</x:t>
        </x:is>
      </x:c>
      <x:c r="D9" t="inlineStr">
        <x:is>
          <x:t xml:space="preserve">备考路径</x:t>
        </x:is>
      </x:c>
      <x:c r="E9" t="inlineStr">
        <x:is>
          <x:t xml:space="preserve">已闭合（原：未闭合）· 2026-10-16</x:t>
        </x:is>
      </x:c>
    </x:row>
    <x:row r="10">
      <x:c r="A10" t="inlineStr">
        <x:is>
          <x:t xml:space="preserve">P0</x:t>
        </x:is>
      </x:c>
      <x:c r="B10" t="inlineStr">
        <x:is>
          <x:t xml:space="preserve">北邮005</x:t>
        </x:is>
      </x:c>
      <x:c r="C10" t="inlineStr">
        <x:is>
          <x:t xml:space="preserve">2026 年 085410 分方向考试科目原件仍未取得，无法判定历史表述「方向01 维持 801 通信原理（未变更）」中的『未变更』是否成立；现有第三方聚合站旁证（2026 方向02=809数据结构）仅有检索片段，按规则不予采信</x:t>
        </x:is>
      </x:c>
      <x:c r="D10" t="inlineStr">
        <x:is>
          <x:t xml:space="preserve">科目可信度</x:t>
        </x:is>
      </x:c>
      <x:c r="E10" t="inlineStr">
        <x:is>
          <x:t xml:space="preserve">未闭合</x:t>
        </x:is>
      </x:c>
    </x:row>
    <x:row r="11">
      <x:c r="A11" t="inlineStr">
        <x:is>
          <x:t xml:space="preserve">P0</x:t>
        </x:is>
      </x:c>
      <x:c r="B11" t="inlineStr">
        <x:is>
          <x:t xml:space="preserve">北邮005</x:t>
        </x:is>
      </x:c>
      <x:c r="C11" t="inlineStr">
        <x:is>
          <x:t xml:space="preserve">统考招生计划数与实际录取人数均未取得；现有 43/89/132/272 为**目录计划数（含推免）**，官方原注明示『招生人数仅供参考，最终以教育部下达的招生计划为准』，三者口径不得混用</x:t>
        </x:is>
      </x:c>
      <x:c r="D11" t="inlineStr">
        <x:is>
          <x:t xml:space="preserve">名额风险</x:t>
        </x:is>
      </x:c>
      <x:c r="E11" t="inlineStr">
        <x:is>
          <x:t xml:space="preserve">未闭合</x:t>
        </x:is>
      </x:c>
    </x:row>
    <x:row r="12">
      <x:c r="A12" t="inlineStr">
        <x:is>
          <x:t xml:space="preserve">P1</x:t>
        </x:is>
      </x:c>
      <x:c r="B12" t="inlineStr">
        <x:is>
          <x:t xml:space="preserve">北邮005</x:t>
        </x:is>
      </x:c>
      <x:c r="C12" t="inlineStr">
        <x:is>
          <x:t xml:space="preserve">口径层级差异待人工裁定：官方调整公告为**专业级**表述（085410 人工智能 809→408），而官方 2027 目录为**方向级**结果（方向01 仍为 801、仅方向02 为 408）；公告不能直接推出『085410 全部方向改 408』</x:t>
        </x:is>
      </x:c>
      <x:c r="D12" t="inlineStr">
        <x:is>
          <x:t xml:space="preserve">科目可信度</x:t>
        </x:is>
      </x:c>
      <x:c r="E12" t="inlineStr">
        <x:is>
          <x:t xml:space="preserve">待裁定</x:t>
        </x:is>
      </x:c>
    </x:row>
    <x:row r="13">
      <x:c r="A13" t="inlineStr">
        <x:is>
          <x:t xml:space="preserve">P1</x:t>
        </x:is>
      </x:c>
      <x:c r="B13" t="inlineStr">
        <x:is>
          <x:t xml:space="preserve">北邮005</x:t>
        </x:is>
      </x:c>
      <x:c r="C13" t="inlineStr">
        <x:is>
          <x:t xml:space="preserve">导师与科研资源无证据：官方 2027 目录未逐方向列导师，备注指引的学院官网『师资队伍-师资一览』『人才培养-研究生培养-研究生招生』栏目定向访问返回 HTTP 412（站点防护拦截，2026-10-16），页面正文未取得</x:t>
        </x:is>
      </x:c>
      <x:c r="D13" t="inlineStr">
        <x:is>
          <x:t xml:space="preserve">导师与资源可进入性</x:t>
        </x:is>
      </x:c>
      <x:c r="E13" t="inlineStr">
        <x:is>
          <x:t xml:space="preserve">未闭合</x:t>
        </x:is>
      </x:c>
    </x:row>
    <x:row r="14">
      <x:c r="A14" t="inlineStr">
        <x:is>
          <x:t xml:space="preserve">P2</x:t>
        </x:is>
      </x:c>
      <x:c r="B14" t="inlineStr">
        <x:is>
          <x:t xml:space="preserve">北邮005</x:t>
        </x:is>
      </x:c>
      <x:c r="C14" t="inlineStr">
        <x:is>
          <x:t xml:space="preserve">复试细则、复试科目与成绩计算办法未取得；初复试权重与淘汰口径无法评估</x:t>
        </x:is>
      </x:c>
      <x:c r="D14" t="inlineStr">
        <x:is>
          <x:t xml:space="preserve">考试风险</x:t>
        </x:is>
      </x:c>
      <x:c r="E14" t="inlineStr">
        <x:is>
          <x:t xml:space="preserve">未闭合</x:t>
        </x:is>
      </x:c>
    </x:row>
    <x:row r="15">
      <x:c r="A15" t="inlineStr">
        <x:is>
          <x:t xml:space="preserve">P2</x:t>
        </x:is>
      </x:c>
      <x:c r="B15" t="inlineStr">
        <x:is>
          <x:t xml:space="preserve">北邮140500</x:t>
        </x:is>
      </x:c>
      <x:c r="C15" t="inlineStr">
        <x:is>
          <x:t xml:space="preserve">同院 140500 智能科学与技术（138 人；方向01 801/42 人、方向02 408/96 人）与 085410 科目结构相同，本系统未纳入，是否作为候选路径待评估（仅据 2027 官方目录，适用2027，非2028）</x:t>
        </x:is>
      </x:c>
      <x:c r="D15" t="inlineStr">
        <x:is>
          <x:t xml:space="preserve">路径覆盖</x:t>
        </x:is>
      </x:c>
      <x:c r="E15" t="inlineStr">
        <x:is>
          <x:t xml:space="preserve">待评估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style="12" customWidth="1"/>
    <x:col min="2" max="2" width="19" style="12" customWidth="1"/>
    <x:col min="3" max="3" width="28" style="12" customWidth="1"/>
    <x:col min="4" max="4" width="19" style="12" customWidth="1"/>
    <x:col min="5" max="5" width="19" style="12" customWidth="1"/>
    <x:col min="6" max="6" width="19" style="12" customWidth="1"/>
    <x:col min="7" max="7" width="19" style="12" customWidth="1"/>
    <x:col min="8" max="8" width="43" style="12" customWidth="1"/>
    <x:col min="9" max="9" width="19" style="12" customWidth="1"/>
    <x:col min="10" max="10" width="19" style="12" customWidth="1"/>
    <x:col min="12" max="12" width="22" style="12" customWidth="1"/>
    <x:col min="13" max="13" width="22" style="12" customWidth="1"/>
  </x:cols>
  <x:sheetData>
    <x:row r="1" s="12" customFormat="1" ht="30" customHeight="1">
      <x:c r="A1" s="15" t="inlineStr">
        <x:is>
          <x:t xml:space="preserve">一级</x:t>
        </x:is>
      </x:c>
      <x:c r="B1" s="15" t="inlineStr">
        <x:is>
          <x:t xml:space="preserve">二级</x:t>
        </x:is>
      </x:c>
      <x:c r="C1" s="15" t="inlineStr">
        <x:is>
          <x:t xml:space="preserve">三级指标</x:t>
        </x:is>
      </x:c>
      <x:c r="D1" s="15" t="inlineStr">
        <x:is>
          <x:t xml:space="preserve">一级权重</x:t>
        </x:is>
      </x:c>
      <x:c r="E1" s="15" t="inlineStr">
        <x:is>
          <x:t xml:space="preserve">二级组内权重</x:t>
        </x:is>
      </x:c>
      <x:c r="F1" s="15" t="inlineStr">
        <x:is>
          <x:t xml:space="preserve">三级组内权重</x:t>
        </x:is>
      </x:c>
      <x:c r="G1" s="15" t="inlineStr">
        <x:is>
          <x:t xml:space="preserve">全局权重</x:t>
        </x:is>
      </x:c>
      <x:c r="H1" s="15" t="inlineStr">
        <x:is>
          <x:t xml:space="preserve">评分锚点/证据要求</x:t>
        </x:is>
      </x:c>
      <x:c r="I1" s="15" t="inlineStr">
        <x:is>
          <x:t xml:space="preserve">一级校验</x:t>
        </x:is>
      </x:c>
      <x:c r="J1" s="15" t="inlineStr">
        <x:is>
          <x:t xml:space="preserve">二级校验</x:t>
        </x:is>
      </x:c>
      <x:c r="L1" t="inlineStr">
        <x:is>
          <x:t xml:space="preserve">一级类别</x:t>
        </x:is>
      </x:c>
      <x:c r="M1" t="inlineStr">
        <x:is>
          <x:t xml:space="preserve">权重(%)</x:t>
        </x:is>
      </x:c>
    </x:row>
    <x:row r="2">
      <x:c r="A2" t="inlineStr">
        <x:is>
          <x:t xml:space="preserve">职业发展</x:t>
        </x:is>
      </x:c>
      <x:c r="B2" t="inlineStr">
        <x:is>
          <x:t xml:space="preserve">AI工程就业</x:t>
        </x:is>
      </x:c>
      <x:c r="C2" t="inlineStr">
        <x:is>
          <x:t xml:space="preserve">岗位与实习机会</x:t>
        </x:is>
      </x:c>
      <x:c r="D2" t="n">
        <x:f>$M$2</x:f>
        <x:v>35</x:v>
      </x:c>
      <x:c r="E2" t="n">
        <x:f>$M$9</x:f>
        <x:v>50</x:v>
      </x:c>
      <x:c r="F2" t="n">
        <x:v>60</x:v>
      </x:c>
      <x:c r="G2" s="32" t="n">
        <x:f>D2*E2*F2/1000000</x:f>
        <x:v>0.105</x:v>
      </x:c>
      <x:c r="H2" t="inlineStr">
        <x:is>
          <x:t xml:space="preserve">目标专业毕业生去向或可核实企业项目</x:t>
        </x:is>
      </x:c>
      <x:c r="L2" t="inlineStr">
        <x:is>
          <x:t xml:space="preserve">职业发展</x:t>
        </x:is>
      </x:c>
      <x:c r="M2" t="n">
        <x:v>35</x:v>
      </x:c>
    </x:row>
    <x:row r="3">
      <x:c r="A3" t="inlineStr">
        <x:is>
          <x:t xml:space="preserve">职业发展</x:t>
        </x:is>
      </x:c>
      <x:c r="B3" t="inlineStr">
        <x:is>
          <x:t xml:space="preserve">AI工程就业</x:t>
        </x:is>
      </x:c>
      <x:c r="C3" t="inlineStr">
        <x:is>
          <x:t xml:space="preserve">产业合作可参与性</x:t>
        </x:is>
      </x:c>
      <x:c r="D3" t="n">
        <x:f>$M$2</x:f>
        <x:v>35</x:v>
      </x:c>
      <x:c r="E3" t="n">
        <x:f>$M$9</x:f>
        <x:v>50</x:v>
      </x:c>
      <x:c r="F3" t="n">
        <x:v>40</x:v>
      </x:c>
      <x:c r="G3" s="32" t="n">
        <x:f>D3*E3*F3/1000000</x:f>
        <x:v>0.07</x:v>
      </x:c>
      <x:c r="H3" t="inlineStr">
        <x:is>
          <x:t xml:space="preserve">校企合作须证明专硕可参与</x:t>
        </x:is>
      </x:c>
      <x:c r="L3" t="inlineStr">
        <x:is>
          <x:t xml:space="preserve">报考可行性</x:t>
        </x:is>
      </x:c>
      <x:c r="M3" t="n">
        <x:v>30</x:v>
      </x:c>
    </x:row>
    <x:row r="4">
      <x:c r="A4" t="inlineStr">
        <x:is>
          <x:t xml:space="preserve">职业发展</x:t>
        </x:is>
      </x:c>
      <x:c r="B4" t="inlineStr">
        <x:is>
          <x:t xml:space="preserve">长期成长</x:t>
        </x:is>
      </x:c>
      <x:c r="C4" t="inlineStr">
        <x:is>
          <x:t xml:space="preserve">Agent/LLM能力积累</x:t>
        </x:is>
      </x:c>
      <x:c r="D4" t="n">
        <x:f>$M$2</x:f>
        <x:v>35</x:v>
      </x:c>
      <x:c r="E4" t="n">
        <x:f>$M$10</x:f>
        <x:v>50</x:v>
      </x:c>
      <x:c r="F4" t="n">
        <x:v>60</x:v>
      </x:c>
      <x:c r="G4" s="32" t="n">
        <x:f>D4*E4*F4/1000000</x:f>
        <x:v>0.105</x:v>
      </x:c>
      <x:c r="H4" t="inlineStr">
        <x:is>
          <x:t xml:space="preserve">具体课程、项目、实验室方向</x:t>
        </x:is>
      </x:c>
      <x:c r="L4" t="inlineStr">
        <x:is>
          <x:t xml:space="preserve">研究培养</x:t>
        </x:is>
      </x:c>
      <x:c r="M4" t="n">
        <x:v>20</x:v>
      </x:c>
    </x:row>
    <x:row r="5">
      <x:c r="A5" t="inlineStr">
        <x:is>
          <x:t xml:space="preserve">职业发展</x:t>
        </x:is>
      </x:c>
      <x:c r="B5" t="inlineStr">
        <x:is>
          <x:t xml:space="preserve">长期成长</x:t>
        </x:is>
      </x:c>
      <x:c r="C5" t="inlineStr">
        <x:is>
          <x:t xml:space="preserve">具身/机器人发展空间</x:t>
        </x:is>
      </x:c>
      <x:c r="D5" t="n">
        <x:f>$M$2</x:f>
        <x:v>35</x:v>
      </x:c>
      <x:c r="E5" t="n">
        <x:f>$M$10</x:f>
        <x:v>50</x:v>
      </x:c>
      <x:c r="F5" t="n">
        <x:v>40</x:v>
      </x:c>
      <x:c r="G5" s="32" t="n">
        <x:f>D5*E5*F5/1000000</x:f>
        <x:v>0.07</x:v>
      </x:c>
      <x:c r="H5" t="inlineStr">
        <x:is>
          <x:t xml:space="preserve">实际研究团队及招生路径</x:t>
        </x:is>
      </x:c>
      <x:c r="L5" t="inlineStr">
        <x:is>
          <x:t xml:space="preserve">地域生态</x:t>
        </x:is>
      </x:c>
      <x:c r="M5" t="n">
        <x:v>10</x:v>
      </x:c>
    </x:row>
    <x:row r="6">
      <x:c r="A6" t="inlineStr">
        <x:is>
          <x:t xml:space="preserve">报考可行性</x:t>
        </x:is>
      </x:c>
      <x:c r="B6" t="inlineStr">
        <x:is>
          <x:t xml:space="preserve">招生路径</x:t>
        </x:is>
      </x:c>
      <x:c r="C6" t="inlineStr">
        <x:is>
          <x:t xml:space="preserve">全日制统考路径明确性</x:t>
        </x:is>
      </x:c>
      <x:c r="D6" t="n">
        <x:f>$M$3</x:f>
        <x:v>30</x:v>
      </x:c>
      <x:c r="E6" t="n">
        <x:f>$M$11</x:f>
        <x:v>55</x:v>
      </x:c>
      <x:c r="F6" t="n">
        <x:v>60</x:v>
      </x:c>
      <x:c r="G6" s="32" t="n">
        <x:f>D6*E6*F6/1000000</x:f>
        <x:v>0.099</x:v>
      </x:c>
      <x:c r="H6" t="inlineStr">
        <x:is>
          <x:t xml:space="preserve">学院-专业-学习方式-年度明确</x:t>
        </x:is>
      </x:c>
      <x:c r="L6" t="inlineStr">
        <x:is>
          <x:t xml:space="preserve">成本安排</x:t>
        </x:is>
      </x:c>
      <x:c r="M6" t="n">
        <x:v>5</x:v>
      </x:c>
    </x:row>
    <x:row r="7">
      <x:c r="A7" t="inlineStr">
        <x:is>
          <x:t xml:space="preserve">报考可行性</x:t>
        </x:is>
      </x:c>
      <x:c r="B7" t="inlineStr">
        <x:is>
          <x:t xml:space="preserve">招生路径</x:t>
        </x:is>
      </x:c>
      <x:c r="C7" t="inlineStr">
        <x:is>
          <x:t xml:space="preserve">名额口径可靠性</x:t>
        </x:is>
      </x:c>
      <x:c r="D7" t="n">
        <x:f>$M$3</x:f>
        <x:v>30</x:v>
      </x:c>
      <x:c r="E7" t="n">
        <x:f>$M$11</x:f>
        <x:v>55</x:v>
      </x:c>
      <x:c r="F7" t="n">
        <x:v>40</x:v>
      </x:c>
      <x:c r="G7" s="32" t="n">
        <x:f>D7*E7*F7/1000000</x:f>
        <x:v>0.066</x:v>
      </x:c>
      <x:c r="H7" t="inlineStr">
        <x:is>
          <x:t xml:space="preserve">统考计划与含推免总数分开</x:t>
        </x:is>
      </x:c>
    </x:row>
    <x:row r="8">
      <x:c r="A8" t="inlineStr">
        <x:is>
          <x:t xml:space="preserve">报考可行性</x:t>
        </x:is>
      </x:c>
      <x:c r="B8" t="inlineStr">
        <x:is>
          <x:t xml:space="preserve">考试风险</x:t>
        </x:is>
      </x:c>
      <x:c r="C8" t="inlineStr">
        <x:is>
          <x:t xml:space="preserve">初复试科目稳定性</x:t>
        </x:is>
      </x:c>
      <x:c r="D8" t="n">
        <x:f>$M$3</x:f>
        <x:v>30</x:v>
      </x:c>
      <x:c r="E8" t="n">
        <x:f>$M$12</x:f>
        <x:v>45</x:v>
      </x:c>
      <x:c r="F8" t="n">
        <x:v>55</x:v>
      </x:c>
      <x:c r="G8" s="32" t="n">
        <x:f>D8*E8*F8/1000000</x:f>
        <x:v>0.07425</x:v>
      </x:c>
      <x:c r="H8" t="inlineStr">
        <x:is>
          <x:t xml:space="preserve">科目调整年度及原件</x:t>
        </x:is>
      </x:c>
      <x:c r="L8" t="inlineStr">
        <x:is>
          <x:t xml:space="preserve">二级类别</x:t>
        </x:is>
      </x:c>
      <x:c r="M8" t="inlineStr">
        <x:is>
          <x:t xml:space="preserve">组内权重(%)</x:t>
        </x:is>
      </x:c>
    </x:row>
    <x:row r="9">
      <x:c r="A9" t="inlineStr">
        <x:is>
          <x:t xml:space="preserve">报考可行性</x:t>
        </x:is>
      </x:c>
      <x:c r="B9" t="inlineStr">
        <x:is>
          <x:t xml:space="preserve">考试风险</x:t>
        </x:is>
      </x:c>
      <x:c r="C9" t="inlineStr">
        <x:is>
          <x:t xml:space="preserve">复试规则可预期性</x:t>
        </x:is>
      </x:c>
      <x:c r="D9" t="n">
        <x:f>$M$3</x:f>
        <x:v>30</x:v>
      </x:c>
      <x:c r="E9" t="n">
        <x:f>$M$12</x:f>
        <x:v>45</x:v>
      </x:c>
      <x:c r="F9" t="n">
        <x:v>45</x:v>
      </x:c>
      <x:c r="G9" s="32" t="n">
        <x:f>D9*E9*F9/1000000</x:f>
        <x:v>0.06075</x:v>
      </x:c>
      <x:c r="H9" t="inlineStr">
        <x:is>
          <x:t xml:space="preserve">仅官方历年规则，非录取概率</x:t>
        </x:is>
      </x:c>
      <x:c r="L9" t="inlineStr">
        <x:is>
          <x:t xml:space="preserve">AI工程就业</x:t>
        </x:is>
      </x:c>
      <x:c r="M9" t="n">
        <x:v>50</x:v>
      </x:c>
    </x:row>
    <x:row r="10">
      <x:c r="A10" t="inlineStr">
        <x:is>
          <x:t xml:space="preserve">研究培养</x:t>
        </x:is>
      </x:c>
      <x:c r="B10" t="inlineStr">
        <x:is>
          <x:t xml:space="preserve">科研匹配</x:t>
        </x:is>
      </x:c>
      <x:c r="C10" t="inlineStr">
        <x:is>
          <x:t xml:space="preserve">研究方向相关性</x:t>
        </x:is>
      </x:c>
      <x:c r="D10" t="n">
        <x:f>$M$4</x:f>
        <x:v>20</x:v>
      </x:c>
      <x:c r="E10" t="n">
        <x:f>$M$13</x:f>
        <x:v>55</x:v>
      </x:c>
      <x:c r="F10" t="n">
        <x:v>55</x:v>
      </x:c>
      <x:c r="G10" s="32" t="n">
        <x:f>D10*E10*F10/1000000</x:f>
        <x:v>0.0605</x:v>
      </x:c>
      <x:c r="H10" t="inlineStr">
        <x:is>
          <x:t xml:space="preserve">Agent/LLM/RAG/具身的具体证据</x:t>
        </x:is>
      </x:c>
      <x:c r="L10" t="inlineStr">
        <x:is>
          <x:t xml:space="preserve">长期成长</x:t>
        </x:is>
      </x:c>
      <x:c r="M10" t="n">
        <x:v>50</x:v>
      </x:c>
    </x:row>
    <x:row r="11">
      <x:c r="A11" t="inlineStr">
        <x:is>
          <x:t xml:space="preserve">研究培养</x:t>
        </x:is>
      </x:c>
      <x:c r="B11" t="inlineStr">
        <x:is>
          <x:t xml:space="preserve">科研匹配</x:t>
        </x:is>
      </x:c>
      <x:c r="C11" t="inlineStr">
        <x:is>
          <x:t xml:space="preserve">导师招生路径证据</x:t>
        </x:is>
      </x:c>
      <x:c r="D11" t="n">
        <x:f>$M$4</x:f>
        <x:v>20</x:v>
      </x:c>
      <x:c r="E11" t="n">
        <x:f>$M$13</x:f>
        <x:v>55</x:v>
      </x:c>
      <x:c r="F11" t="n">
        <x:v>45</x:v>
      </x:c>
      <x:c r="G11" s="32" t="n">
        <x:f>D11*E11*F11/1000000</x:f>
        <x:v>0.0495</x:v>
      </x:c>
      <x:c r="H11" t="inlineStr">
        <x:is>
          <x:t xml:space="preserve">历史代码级≠2028名额</x:t>
        </x:is>
      </x:c>
      <x:c r="L11" t="inlineStr">
        <x:is>
          <x:t xml:space="preserve">招生路径</x:t>
        </x:is>
      </x:c>
      <x:c r="M11" t="n">
        <x:v>55</x:v>
      </x:c>
    </x:row>
    <x:row r="12">
      <x:c r="A12" t="inlineStr">
        <x:is>
          <x:t xml:space="preserve">研究培养</x:t>
        </x:is>
      </x:c>
      <x:c r="B12" t="inlineStr">
        <x:is>
          <x:t xml:space="preserve">培养可进入</x:t>
        </x:is>
      </x:c>
      <x:c r="C12" t="inlineStr">
        <x:is>
          <x:t xml:space="preserve">实践机制适用性</x:t>
        </x:is>
      </x:c>
      <x:c r="D12" t="n">
        <x:f>$M$4</x:f>
        <x:v>20</x:v>
      </x:c>
      <x:c r="E12" t="n">
        <x:f>$M$14</x:f>
        <x:v>45</x:v>
      </x:c>
      <x:c r="F12" t="n">
        <x:v>50</x:v>
      </x:c>
      <x:c r="G12" s="32" t="n">
        <x:f>D12*E12*F12/1000000</x:f>
        <x:v>0.045</x:v>
      </x:c>
      <x:c r="H12" t="inlineStr">
        <x:is>
          <x:t xml:space="preserve">专业培养方案而非宣传</x:t>
        </x:is>
      </x:c>
      <x:c r="L12" t="inlineStr">
        <x:is>
          <x:t xml:space="preserve">考试风险</x:t>
        </x:is>
      </x:c>
      <x:c r="M12" t="n">
        <x:v>45</x:v>
      </x:c>
    </x:row>
    <x:row r="13">
      <x:c r="A13" t="inlineStr">
        <x:is>
          <x:t xml:space="preserve">研究培养</x:t>
        </x:is>
      </x:c>
      <x:c r="B13" t="inlineStr">
        <x:is>
          <x:t xml:space="preserve">培养可进入</x:t>
        </x:is>
      </x:c>
      <x:c r="C13" t="inlineStr">
        <x:is>
          <x:t xml:space="preserve">平台资源可进入性</x:t>
        </x:is>
      </x:c>
      <x:c r="D13" t="n">
        <x:f>$M$4</x:f>
        <x:v>20</x:v>
      </x:c>
      <x:c r="E13" t="n">
        <x:f>$M$14</x:f>
        <x:v>45</x:v>
      </x:c>
      <x:c r="F13" t="n">
        <x:v>50</x:v>
      </x:c>
      <x:c r="G13" s="32" t="n">
        <x:f>D13*E13*F13/1000000</x:f>
        <x:v>0.045</x:v>
      </x:c>
      <x:c r="H13" t="inlineStr">
        <x:is>
          <x:t xml:space="preserve">P1-P4分级；P3不能推断可用</x:t>
        </x:is>
      </x:c>
      <x:c r="L13" t="inlineStr">
        <x:is>
          <x:t xml:space="preserve">科研匹配</x:t>
        </x:is>
      </x:c>
      <x:c r="M13" t="n">
        <x:v>55</x:v>
      </x:c>
    </x:row>
    <x:row r="14">
      <x:c r="A14" t="inlineStr">
        <x:is>
          <x:t xml:space="preserve">地域生态</x:t>
        </x:is>
      </x:c>
      <x:c r="B14" t="inlineStr">
        <x:is>
          <x:t xml:space="preserve">产业机会</x:t>
        </x:is>
      </x:c>
      <x:c r="C14" t="inlineStr">
        <x:is>
          <x:t xml:space="preserve">城市AI岗位生态</x:t>
        </x:is>
      </x:c>
      <x:c r="D14" t="n">
        <x:f>$M$5</x:f>
        <x:v>10</x:v>
      </x:c>
      <x:c r="E14" t="n">
        <x:f>$M$15</x:f>
        <x:v>65</x:v>
      </x:c>
      <x:c r="F14" t="n">
        <x:v>65</x:v>
      </x:c>
      <x:c r="G14" s="32" t="n">
        <x:f>D14*E14*F14/1000000</x:f>
        <x:v>0.04225</x:v>
      </x:c>
      <x:c r="H14" t="inlineStr">
        <x:is>
          <x:t xml:space="preserve">需可追溯招聘与产业数据</x:t>
        </x:is>
      </x:c>
      <x:c r="L14" t="inlineStr">
        <x:is>
          <x:t xml:space="preserve">培养可进入</x:t>
        </x:is>
      </x:c>
      <x:c r="M14" t="n">
        <x:v>45</x:v>
      </x:c>
    </x:row>
    <x:row r="15">
      <x:c r="A15" t="inlineStr">
        <x:is>
          <x:t xml:space="preserve">地域生态</x:t>
        </x:is>
      </x:c>
      <x:c r="B15" t="inlineStr">
        <x:is>
          <x:t xml:space="preserve">产业机会</x:t>
        </x:is>
      </x:c>
      <x:c r="C15" t="inlineStr">
        <x:is>
          <x:t xml:space="preserve">实习合作半径</x:t>
        </x:is>
      </x:c>
      <x:c r="D15" t="n">
        <x:f>$M$5</x:f>
        <x:v>10</x:v>
      </x:c>
      <x:c r="E15" t="n">
        <x:f>$M$15</x:f>
        <x:v>65</x:v>
      </x:c>
      <x:c r="F15" t="n">
        <x:v>35</x:v>
      </x:c>
      <x:c r="G15" s="32" t="n">
        <x:f>D15*E15*F15/1000000</x:f>
        <x:v>0.02275</x:v>
      </x:c>
      <x:c r="H15" t="inlineStr">
        <x:is>
          <x:t xml:space="preserve">培养地而非学校名义所在地</x:t>
        </x:is>
      </x:c>
      <x:c r="L15" t="inlineStr">
        <x:is>
          <x:t xml:space="preserve">产业机会</x:t>
        </x:is>
      </x:c>
      <x:c r="M15" t="n">
        <x:v>65</x:v>
      </x:c>
    </x:row>
    <x:row r="16">
      <x:c r="A16" t="inlineStr">
        <x:is>
          <x:t xml:space="preserve">地域生态</x:t>
        </x:is>
      </x:c>
      <x:c r="B16" t="inlineStr">
        <x:is>
          <x:t xml:space="preserve">生活适配</x:t>
        </x:is>
      </x:c>
      <x:c r="C16" t="inlineStr">
        <x:is>
          <x:t xml:space="preserve">地域与气候</x:t>
        </x:is>
      </x:c>
      <x:c r="D16" t="n">
        <x:f>$M$5</x:f>
        <x:v>10</x:v>
      </x:c>
      <x:c r="E16" t="n">
        <x:f>$M$16</x:f>
        <x:v>35</x:v>
      </x:c>
      <x:c r="F16" t="n">
        <x:v>100</x:v>
      </x:c>
      <x:c r="G16" s="32" t="n">
        <x:f>D16*E16*F16/1000000</x:f>
        <x:v>0.035</x:v>
      </x:c>
      <x:c r="H16" t="inlineStr">
        <x:is>
          <x:t xml:space="preserve">东北不考虑；就业城市不必同城</x:t>
        </x:is>
      </x:c>
      <x:c r="L16" t="inlineStr">
        <x:is>
          <x:t xml:space="preserve">生活适配</x:t>
        </x:is>
      </x:c>
      <x:c r="M16" t="n">
        <x:v>35</x:v>
      </x:c>
    </x:row>
    <x:row r="17">
      <x:c r="A17" t="inlineStr">
        <x:is>
          <x:t xml:space="preserve">成本安排</x:t>
        </x:is>
      </x:c>
      <x:c r="B17" t="inlineStr">
        <x:is>
          <x:t xml:space="preserve">经济成本</x:t>
        </x:is>
      </x:c>
      <x:c r="C17" t="inlineStr">
        <x:is>
          <x:t xml:space="preserve">学费及住宿</x:t>
        </x:is>
      </x:c>
      <x:c r="D17" t="n">
        <x:f>$M$6</x:f>
        <x:v>5</x:v>
      </x:c>
      <x:c r="E17" t="n">
        <x:f>$M$17</x:f>
        <x:v>55</x:v>
      </x:c>
      <x:c r="F17" t="n">
        <x:v>55</x:v>
      </x:c>
      <x:c r="G17" s="32" t="n">
        <x:f>D17*E17*F17/1000000</x:f>
        <x:v>0.015125</x:v>
      </x:c>
      <x:c r="H17" t="inlineStr">
        <x:is>
          <x:t xml:space="preserve">高学费为软约束，考虑收益</x:t>
        </x:is>
      </x:c>
      <x:c r="L17" t="inlineStr">
        <x:is>
          <x:t xml:space="preserve">经济成本</x:t>
        </x:is>
      </x:c>
      <x:c r="M17" t="n">
        <x:v>55</x:v>
      </x:c>
    </x:row>
    <x:row r="18">
      <x:c r="A18" t="inlineStr">
        <x:is>
          <x:t xml:space="preserve">成本安排</x:t>
        </x:is>
      </x:c>
      <x:c r="B18" t="inlineStr">
        <x:is>
          <x:t xml:space="preserve">经济成本</x:t>
        </x:is>
      </x:c>
      <x:c r="C18" t="inlineStr">
        <x:is>
          <x:t xml:space="preserve">异地与额外支出</x:t>
        </x:is>
      </x:c>
      <x:c r="D18" t="n">
        <x:f>$M$6</x:f>
        <x:v>5</x:v>
      </x:c>
      <x:c r="E18" t="n">
        <x:f>$M$17</x:f>
        <x:v>55</x:v>
      </x:c>
      <x:c r="F18" t="n">
        <x:v>45</x:v>
      </x:c>
      <x:c r="G18" s="32" t="n">
        <x:f>D18*E18*F18/1000000</x:f>
        <x:v>0.012375</x:v>
      </x:c>
      <x:c r="H18" t="inlineStr">
        <x:is>
          <x:t xml:space="preserve">异地实践住宿和交通</x:t>
        </x:is>
      </x:c>
      <x:c r="L18" t="inlineStr">
        <x:is>
          <x:t xml:space="preserve">培养安排</x:t>
        </x:is>
      </x:c>
      <x:c r="M18" t="n">
        <x:v>45</x:v>
      </x:c>
    </x:row>
    <x:row r="19">
      <x:c r="A19" t="inlineStr">
        <x:is>
          <x:t xml:space="preserve">成本安排</x:t>
        </x:is>
      </x:c>
      <x:c r="B19" t="inlineStr">
        <x:is>
          <x:t xml:space="preserve">培养安排</x:t>
        </x:is>
      </x:c>
      <x:c r="C19" t="inlineStr">
        <x:is>
          <x:t xml:space="preserve">学制与企业实践</x:t>
        </x:is>
      </x:c>
      <x:c r="D19" t="n">
        <x:f>$M$6</x:f>
        <x:v>5</x:v>
      </x:c>
      <x:c r="E19" t="n">
        <x:f>$M$18</x:f>
        <x:v>45</x:v>
      </x:c>
      <x:c r="F19" t="n">
        <x:v>100</x:v>
      </x:c>
      <x:c r="G19" s="32" t="n">
        <x:f>D19*E19*F19/1000000</x:f>
        <x:v>0.0225</x:v>
      </x:c>
      <x:c r="H19" t="inlineStr">
        <x:is>
          <x:t xml:space="preserve">培养地点与强制实践</x:t>
        </x:is>
      </x:c>
    </x:row>
    <x:row r="21">
      <x:c r="L21" t="inlineStr">
        <x:is>
          <x:t xml:space="preserve">校验</x:t>
        </x:is>
      </x:c>
      <x:c r="M21" t="inlineStr">
        <x:is>
          <x:t xml:space="preserve">结果</x:t>
        </x:is>
      </x:c>
    </x:row>
    <x:row r="22">
      <x:c r="L22" t="inlineStr">
        <x:is>
          <x:t xml:space="preserve">一级权重合计</x:t>
        </x:is>
      </x:c>
      <x:c r="M22" t="n">
        <x:f>SUM(M2:M6)</x:f>
        <x:v>100</x:v>
      </x:c>
    </x:row>
    <x:row r="23">
      <x:c r="L23" t="inlineStr">
        <x:is>
          <x:t xml:space="preserve">三级全局权重合计</x:t>
        </x:is>
      </x:c>
      <x:c r="M23" t="n">
        <x:f>SUM(G2:G19)</x:f>
        <x:v>1</x:v>
      </x:c>
    </x:row>
    <x:row r="24">
      <x:c r="L24" t="inlineStr">
        <x:is>
          <x:t xml:space="preserve">三级指标数量</x:t>
        </x:is>
      </x:c>
      <x:c r="M24" t="n">
        <x:v>18</x:v>
      </x:c>
    </x:row>
    <x:row r="25">
      <x:c r="L25" t="inlineStr">
        <x:is>
          <x:t xml:space="preserve">一级权重校验(=100?)</x:t>
        </x:is>
      </x:c>
      <x:c r="M25" t="str">
        <x:f>IF(ROUND(SUM(M2:M6),6)=100,"通过","不通过")</x:f>
        <x:v>通过</x:v>
      </x:c>
    </x:row>
    <x:row r="26">
      <x:c r="L26" t="inlineStr">
        <x:is>
          <x:t xml:space="preserve">三级全局权重校验(=1?)</x:t>
        </x:is>
      </x:c>
      <x:c r="M26" t="str">
        <x:f>IF(ROUND(SUM(G2:G19),6)=1,"通过","不通过")</x:f>
        <x:v>通过</x:v>
      </x:c>
    </x:row>
    <x:row r="27">
      <x:c r="L27" t="inlineStr">
        <x:is>
          <x:t xml:space="preserve">负权重检查</x:t>
        </x:is>
      </x:c>
      <x:c r="M27" t="str">
        <x:f>IF(COUNTIF(F2:F19,"&lt;0")+COUNTIF(M2:M6,"&lt;0")&gt;0,"存在负权重","无负权重")</x:f>
        <x:v>无负权重</x:v>
      </x:c>
    </x:row>
    <x:row r="28">
      <x:c r="L28" t="inlineStr">
        <x:is>
          <x:t xml:space="preserve">除零检查</x:t>
        </x:is>
      </x:c>
      <x:c r="M28" t="str">
        <x:f>IF(SUM(M2:M6)=0,"一级分母为0","正常")</x:f>
        <x:v>正常</x:v>
      </x:c>
    </x:row>
    <x:row r="30">
      <x:c r="L30" t="inlineStr">
        <x:is>
          <x:t xml:space="preserve">口径</x:t>
        </x:is>
      </x:c>
      <x:c r="M30" t="inlineStr">
        <x:is>
          <x:t xml:space="preserve">一级合计=100; 二级组内各=100; 三级组内各=100; 全局=D*E*F/1000000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style="12" customWidth="1"/>
    <x:col min="2" max="2" width="19" style="12" customWidth="1"/>
    <x:col min="3" max="3" width="19" style="12" customWidth="1"/>
    <x:col min="4" max="4" width="19" style="12" customWidth="1"/>
  </x:cols>
  <x:sheetData>
    <x:row r="1" s="12" customFormat="1" ht="30" customHeight="1">
      <x:c r="A1" s="15" t="inlineStr">
        <x:is>
          <x:t xml:space="preserve">分值</x:t>
        </x:is>
      </x:c>
      <x:c r="B1" s="15" t="inlineStr">
        <x:is>
          <x:t xml:space="preserve">证据要求</x:t>
        </x:is>
      </x:c>
      <x:c r="C1" s="15" t="inlineStr">
        <x:is>
          <x:t xml:space="preserve">解释</x:t>
        </x:is>
      </x:c>
      <x:c r="D1" s="15" t="inlineStr">
        <x:is>
          <x:t xml:space="preserve">注意</x:t>
        </x:is>
      </x:c>
    </x:row>
    <x:row r="2">
      <x:c r="A2" t="n">
        <x:v>1</x:v>
      </x:c>
      <x:c r="B2" t="inlineStr">
        <x:is>
          <x:t xml:space="preserve">官方明确不利证据</x:t>
        </x:is>
      </x:c>
      <x:c r="C2" t="inlineStr">
        <x:is>
          <x:t xml:space="preserve">与目标显著不匹配</x:t>
        </x:is>
      </x:c>
      <x:c r="D2" t="inlineStr">
        <x:is>
          <x:t xml:space="preserve">不是信息缺失</x:t>
        </x:is>
      </x:c>
    </x:row>
    <x:row r="3">
      <x:c r="A3" t="n">
        <x:v>2</x:v>
      </x:c>
      <x:c r="B3" t="inlineStr">
        <x:is>
          <x:t xml:space="preserve">可追溯的明显短板</x:t>
        </x:is>
      </x:c>
      <x:c r="C3" t="inlineStr">
        <x:is>
          <x:t xml:space="preserve">存在较明显限制</x:t>
        </x:is>
      </x:c>
      <x:c r="D3" t="inlineStr">
        <x:is>
          <x:t xml:space="preserve">必须列来源</x:t>
        </x:is>
      </x:c>
    </x:row>
    <x:row r="4">
      <x:c r="A4" t="n">
        <x:v>3</x:v>
      </x:c>
      <x:c r="B4" t="inlineStr">
        <x:is>
          <x:t xml:space="preserve">可追溯的中性或混合证据</x:t>
        </x:is>
      </x:c>
      <x:c r="C4" t="inlineStr">
        <x:is>
          <x:t xml:space="preserve">既有优势也有限制</x:t>
        </x:is>
      </x:c>
      <x:c r="D4" t="inlineStr">
        <x:is>
          <x:t xml:space="preserve">不能用作默认分</x:t>
        </x:is>
      </x:c>
    </x:row>
    <x:row r="5">
      <x:c r="A5" t="n">
        <x:v>4</x:v>
      </x:c>
      <x:c r="B5" t="inlineStr">
        <x:is>
          <x:t xml:space="preserve">可靠的正向证据</x:t>
        </x:is>
      </x:c>
      <x:c r="C5" t="inlineStr">
        <x:is>
          <x:t xml:space="preserve">对目标有明确支持</x:t>
        </x:is>
      </x:c>
      <x:c r="D5" t="inlineStr">
        <x:is>
          <x:t xml:space="preserve">区分学院与专业</x:t>
        </x:is>
      </x:c>
    </x:row>
    <x:row r="6">
      <x:c r="A6" t="n">
        <x:v>5</x:v>
      </x:c>
      <x:c r="B6" t="inlineStr">
        <x:is>
          <x:t xml:space="preserve">直接、强且可进入的证据</x:t>
        </x:is>
      </x:c>
      <x:c r="C6" t="inlineStr">
        <x:is>
          <x:t xml:space="preserve">目标路径有明确高价值优势</x:t>
        </x:is>
      </x:c>
      <x:c r="D6" t="inlineStr">
        <x:is>
          <x:t xml:space="preserve">需高强度官方支持</x:t>
        </x:is>
      </x:c>
    </x:row>
    <x:row r="7">
      <x:c r="A7" t="inlineStr">
        <x:is>
          <x:t xml:space="preserve">空白</x:t>
        </x:is>
      </x:c>
      <x:c r="B7" t="inlineStr">
        <x:is>
          <x:t xml:space="preserve">未知/缺失</x:t>
        </x:is>
      </x:c>
      <x:c r="C7" t="inlineStr">
        <x:is>
          <x:t xml:space="preserve">不参与分数计算</x:t>
        </x:is>
      </x:c>
      <x:c r="D7" t="inlineStr">
        <x:is>
          <x:t xml:space="preserve">覆盖率单独显示</x:t>
        </x:is>
      </x:c>
    </x:row>
    <x:row r="8">
      <x:c r="A8" t="inlineStr">
        <x:is>
          <x:t xml:space="preserve">不适用</x:t>
        </x:is>
      </x:c>
      <x:c r="B8" t="inlineStr">
        <x:is>
          <x:t xml:space="preserve">该路径无此维度</x:t>
        </x:is>
      </x:c>
      <x:c r="C8" t="inlineStr">
        <x:is>
          <x:t xml:space="preserve">标记NA，单独审议</x:t>
        </x:is>
      </x:c>
      <x:c r="D8" t="inlineStr">
        <x:is>
          <x:t xml:space="preserve">不可写0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style="12" customWidth="1"/>
    <x:col min="2" max="2" width="19" style="12" customWidth="1"/>
    <x:col min="3" max="3" width="19" style="12" customWidth="1"/>
    <x:col min="4" max="4" width="19" style="12" customWidth="1"/>
    <x:col min="5" max="5" width="19" style="12" customWidth="1"/>
    <x:col min="6" max="6" width="30" style="12" customWidth="1"/>
    <x:col min="7" max="7" width="19" style="12" customWidth="1"/>
    <x:col min="8" max="8" width="19" style="12" customWidth="1"/>
    <x:col min="9" max="9" width="31" style="12" customWidth="1"/>
    <x:col min="10" max="10" width="19" style="12" customWidth="1"/>
  </x:cols>
  <x:sheetData>
    <x:row r="1" s="12" customFormat="1" ht="30" customHeight="1">
      <x:c r="A1" s="15" t="inlineStr">
        <x:is>
          <x:t xml:space="preserve">路径ID</x:t>
        </x:is>
      </x:c>
      <x:c r="B1" s="15" t="inlineStr">
        <x:is>
          <x:t xml:space="preserve">一级</x:t>
        </x:is>
      </x:c>
      <x:c r="C1" s="15" t="inlineStr">
        <x:is>
          <x:t xml:space="preserve">二级</x:t>
        </x:is>
      </x:c>
      <x:c r="D1" s="15" t="inlineStr">
        <x:is>
          <x:t xml:space="preserve">三级指标</x:t>
        </x:is>
      </x:c>
      <x:c r="E1" s="15" t="inlineStr">
        <x:is>
          <x:t xml:space="preserve">分值1-5</x:t>
        </x:is>
      </x:c>
      <x:c r="F1" s="15" t="inlineStr">
        <x:is>
          <x:t xml:space="preserve">来源ID/URL</x:t>
        </x:is>
      </x:c>
      <x:c r="G1" s="15" t="inlineStr">
        <x:is>
          <x:t xml:space="preserve">事实/推断/未知</x:t>
        </x:is>
      </x:c>
      <x:c r="H1" s="15" t="inlineStr">
        <x:is>
          <x:t xml:space="preserve">证据层级</x:t>
        </x:is>
      </x:c>
      <x:c r="I1" s="15" t="inlineStr">
        <x:is>
          <x:t xml:space="preserve">备注</x:t>
        </x:is>
      </x:c>
      <x:c r="J1" s="15" t="inlineStr">
        <x:is>
          <x:t xml:space="preserve">三级全局权重</x:t>
        </x:is>
      </x:c>
      <x:c r="K1" t="inlineStr">
        <x:is>
          <x:t xml:space="preserve">有效标志(1=有效)</x:t>
        </x:is>
      </x:c>
      <x:c r="L1" t="inlineStr">
        <x:is>
          <x:t xml:space="preserve">有效评分值</x:t>
        </x:is>
      </x:c>
    </x:row>
    <x:row r="2">
      <x:c r="A2" t="inlineStr">
        <x:is>
          <x:t xml:space="preserve">P01</x:t>
        </x:is>
      </x:c>
      <x:c r="B2" t="inlineStr">
        <x:is>
          <x:t xml:space="preserve">职业发展</x:t>
        </x:is>
      </x:c>
      <x:c r="C2" t="inlineStr">
        <x:is>
          <x:t xml:space="preserve">AI工程就业</x:t>
        </x:is>
      </x:c>
      <x:c r="D2" t="inlineStr">
        <x:is>
          <x:t xml:space="preserve">岗位与实习机会</x:t>
        </x:is>
      </x:c>
      <x:c r="G2" t="inlineStr">
        <x:is>
          <x:t xml:space="preserve">未知</x:t>
        </x:is>
      </x:c>
      <x:c r="I2" t="inlineStr">
        <x:is>
          <x:t xml:space="preserve">待逐条核验；不自动填分</x:t>
        </x:is>
      </x:c>
      <x:c r="J2" t="n">
        <x:f>'三级指标树'!G2</x:f>
        <x:v>0.105</x:v>
      </x:c>
      <x:c r="K2" t="n">
        <x:f>IFERROR(IF(AND(ISNUMBER(E2),E2&gt;=参数!$B$3,E2&lt;=参数!$B$4,E2=INT(E2),TRIM(F2)&lt;&gt;""),1,0),0)</x:f>
        <x:v>0</x:v>
      </x:c>
      <x:c r="L2" t="n">
        <x:f>IFERROR(K2*N(E2),0)</x:f>
        <x:v>0</x:v>
      </x:c>
    </x:row>
    <x:row r="3">
      <x:c r="A3" t="inlineStr">
        <x:is>
          <x:t xml:space="preserve">P01</x:t>
        </x:is>
      </x:c>
      <x:c r="B3" t="inlineStr">
        <x:is>
          <x:t xml:space="preserve">职业发展</x:t>
        </x:is>
      </x:c>
      <x:c r="C3" t="inlineStr">
        <x:is>
          <x:t xml:space="preserve">AI工程就业</x:t>
        </x:is>
      </x:c>
      <x:c r="D3" t="inlineStr">
        <x:is>
          <x:t xml:space="preserve">产业合作可参与性</x:t>
        </x:is>
      </x:c>
      <x:c r="G3" t="inlineStr">
        <x:is>
          <x:t xml:space="preserve">未知</x:t>
        </x:is>
      </x:c>
      <x:c r="I3" t="inlineStr">
        <x:is>
          <x:t xml:space="preserve">待逐条核验；不自动填分</x:t>
        </x:is>
      </x:c>
      <x:c r="J3" t="n">
        <x:f>'三级指标树'!G3</x:f>
        <x:v>0.07</x:v>
      </x:c>
      <x:c r="K3" t="n">
        <x:f>IFERROR(IF(AND(ISNUMBER(E3),E3&gt;=参数!$B$3,E3&lt;=参数!$B$4,E3=INT(E3),TRIM(F3)&lt;&gt;""),1,0),0)</x:f>
        <x:v>0</x:v>
      </x:c>
      <x:c r="L3" t="n">
        <x:f>IFERROR(K3*N(E3),0)</x:f>
        <x:v>0</x:v>
      </x:c>
    </x:row>
    <x:row r="4">
      <x:c r="A4" t="inlineStr">
        <x:is>
          <x:t xml:space="preserve">P01</x:t>
        </x:is>
      </x:c>
      <x:c r="B4" t="inlineStr">
        <x:is>
          <x:t xml:space="preserve">职业发展</x:t>
        </x:is>
      </x:c>
      <x:c r="C4" t="inlineStr">
        <x:is>
          <x:t xml:space="preserve">长期成长</x:t>
        </x:is>
      </x:c>
      <x:c r="D4" t="inlineStr">
        <x:is>
          <x:t xml:space="preserve">Agent/LLM能力积累</x:t>
        </x:is>
      </x:c>
      <x:c r="G4" t="inlineStr">
        <x:is>
          <x:t xml:space="preserve">未知</x:t>
        </x:is>
      </x:c>
      <x:c r="I4" t="inlineStr">
        <x:is>
          <x:t xml:space="preserve">待逐条核验；不自动填分</x:t>
        </x:is>
      </x:c>
      <x:c r="J4" t="n">
        <x:f>'三级指标树'!G4</x:f>
        <x:v>0.105</x:v>
      </x:c>
      <x:c r="K4" t="n">
        <x:f>IFERROR(IF(AND(ISNUMBER(E4),E4&gt;=参数!$B$3,E4&lt;=参数!$B$4,E4=INT(E4),TRIM(F4)&lt;&gt;""),1,0),0)</x:f>
        <x:v>0</x:v>
      </x:c>
      <x:c r="L4" t="n">
        <x:f>IFERROR(K4*N(E4),0)</x:f>
        <x:v>0</x:v>
      </x:c>
    </x:row>
    <x:row r="5">
      <x:c r="A5" t="inlineStr">
        <x:is>
          <x:t xml:space="preserve">P01</x:t>
        </x:is>
      </x:c>
      <x:c r="B5" t="inlineStr">
        <x:is>
          <x:t xml:space="preserve">职业发展</x:t>
        </x:is>
      </x:c>
      <x:c r="C5" t="inlineStr">
        <x:is>
          <x:t xml:space="preserve">长期成长</x:t>
        </x:is>
      </x:c>
      <x:c r="D5" t="inlineStr">
        <x:is>
          <x:t xml:space="preserve">具身/机器人发展空间</x:t>
        </x:is>
      </x:c>
      <x:c r="G5" t="inlineStr">
        <x:is>
          <x:t xml:space="preserve">未知</x:t>
        </x:is>
      </x:c>
      <x:c r="I5" t="inlineStr">
        <x:is>
          <x:t xml:space="preserve">待逐条核验；不自动填分</x:t>
        </x:is>
      </x:c>
      <x:c r="J5" t="n">
        <x:f>'三级指标树'!G5</x:f>
        <x:v>0.07</x:v>
      </x:c>
      <x:c r="K5" t="n">
        <x:f>IFERROR(IF(AND(ISNUMBER(E5),E5&gt;=参数!$B$3,E5&lt;=参数!$B$4,E5=INT(E5),TRIM(F5)&lt;&gt;""),1,0),0)</x:f>
        <x:v>0</x:v>
      </x:c>
      <x:c r="L5" t="n">
        <x:f>IFERROR(K5*N(E5),0)</x:f>
        <x:v>0</x:v>
      </x:c>
    </x:row>
    <x:row r="6">
      <x:c r="A6" t="inlineStr">
        <x:is>
          <x:t xml:space="preserve">P01</x:t>
        </x:is>
      </x:c>
      <x:c r="B6" t="inlineStr">
        <x:is>
          <x:t xml:space="preserve">报考可行性</x:t>
        </x:is>
      </x:c>
      <x:c r="C6" t="inlineStr">
        <x:is>
          <x:t xml:space="preserve">招生路径</x:t>
        </x:is>
      </x:c>
      <x:c r="D6" t="inlineStr">
        <x:is>
          <x:t xml:space="preserve">全日制统考路径明确性</x:t>
        </x:is>
      </x:c>
      <x:c r="G6" t="inlineStr">
        <x:is>
          <x:t xml:space="preserve">未知</x:t>
        </x:is>
      </x:c>
      <x:c r="I6" t="inlineStr">
        <x:is>
          <x:t xml:space="preserve">待逐条核验；不自动填分</x:t>
        </x:is>
      </x:c>
      <x:c r="J6" t="n">
        <x:f>'三级指标树'!G6</x:f>
        <x:v>0.099</x:v>
      </x:c>
      <x:c r="K6" t="n">
        <x:f>IFERROR(IF(AND(ISNUMBER(E6),E6&gt;=参数!$B$3,E6&lt;=参数!$B$4,E6=INT(E6),TRIM(F6)&lt;&gt;""),1,0),0)</x:f>
        <x:v>0</x:v>
      </x:c>
      <x:c r="L6" t="n">
        <x:f>IFERROR(K6*N(E6),0)</x:f>
        <x:v>0</x:v>
      </x:c>
    </x:row>
    <x:row r="7">
      <x:c r="A7" t="inlineStr">
        <x:is>
          <x:t xml:space="preserve">P01</x:t>
        </x:is>
      </x:c>
      <x:c r="B7" t="inlineStr">
        <x:is>
          <x:t xml:space="preserve">报考可行性</x:t>
        </x:is>
      </x:c>
      <x:c r="C7" t="inlineStr">
        <x:is>
          <x:t xml:space="preserve">招生路径</x:t>
        </x:is>
      </x:c>
      <x:c r="D7" t="inlineStr">
        <x:is>
          <x:t xml:space="preserve">名额口径可靠性</x:t>
        </x:is>
      </x:c>
      <x:c r="G7" t="inlineStr">
        <x:is>
          <x:t xml:space="preserve">未知</x:t>
        </x:is>
      </x:c>
      <x:c r="I7" t="inlineStr">
        <x:is>
          <x:t xml:space="preserve">待逐条核验；不自动填分</x:t>
        </x:is>
      </x:c>
      <x:c r="J7" t="n">
        <x:f>'三级指标树'!G7</x:f>
        <x:v>0.066</x:v>
      </x:c>
      <x:c r="K7" t="n">
        <x:f>IFERROR(IF(AND(ISNUMBER(E7),E7&gt;=参数!$B$3,E7&lt;=参数!$B$4,E7=INT(E7),TRIM(F7)&lt;&gt;""),1,0),0)</x:f>
        <x:v>0</x:v>
      </x:c>
      <x:c r="L7" t="n">
        <x:f>IFERROR(K7*N(E7),0)</x:f>
        <x:v>0</x:v>
      </x:c>
    </x:row>
    <x:row r="8">
      <x:c r="A8" t="inlineStr">
        <x:is>
          <x:t xml:space="preserve">P01</x:t>
        </x:is>
      </x:c>
      <x:c r="B8" t="inlineStr">
        <x:is>
          <x:t xml:space="preserve">报考可行性</x:t>
        </x:is>
      </x:c>
      <x:c r="C8" t="inlineStr">
        <x:is>
          <x:t xml:space="preserve">考试风险</x:t>
        </x:is>
      </x:c>
      <x:c r="D8" t="inlineStr">
        <x:is>
          <x:t xml:space="preserve">初复试科目稳定性</x:t>
        </x:is>
      </x:c>
      <x:c r="G8" t="inlineStr">
        <x:is>
          <x:t xml:space="preserve">未知</x:t>
        </x:is>
      </x:c>
      <x:c r="I8" t="inlineStr">
        <x:is>
          <x:t xml:space="preserve">待逐条核验；不自动填分</x:t>
        </x:is>
      </x:c>
      <x:c r="J8" t="n">
        <x:f>'三级指标树'!G8</x:f>
        <x:v>0.07425</x:v>
      </x:c>
      <x:c r="K8" t="n">
        <x:f>IFERROR(IF(AND(ISNUMBER(E8),E8&gt;=参数!$B$3,E8&lt;=参数!$B$4,E8=INT(E8),TRIM(F8)&lt;&gt;""),1,0),0)</x:f>
        <x:v>0</x:v>
      </x:c>
      <x:c r="L8" t="n">
        <x:f>IFERROR(K8*N(E8),0)</x:f>
        <x:v>0</x:v>
      </x:c>
    </x:row>
    <x:row r="9">
      <x:c r="A9" t="inlineStr">
        <x:is>
          <x:t xml:space="preserve">P01</x:t>
        </x:is>
      </x:c>
      <x:c r="B9" t="inlineStr">
        <x:is>
          <x:t xml:space="preserve">报考可行性</x:t>
        </x:is>
      </x:c>
      <x:c r="C9" t="inlineStr">
        <x:is>
          <x:t xml:space="preserve">考试风险</x:t>
        </x:is>
      </x:c>
      <x:c r="D9" t="inlineStr">
        <x:is>
          <x:t xml:space="preserve">复试规则可预期性</x:t>
        </x:is>
      </x:c>
      <x:c r="G9" t="inlineStr">
        <x:is>
          <x:t xml:space="preserve">未知</x:t>
        </x:is>
      </x:c>
      <x:c r="I9" t="inlineStr">
        <x:is>
          <x:t xml:space="preserve">待逐条核验；不自动填分</x:t>
        </x:is>
      </x:c>
      <x:c r="J9" t="n">
        <x:f>'三级指标树'!G9</x:f>
        <x:v>0.06075</x:v>
      </x:c>
      <x:c r="K9" t="n">
        <x:f>IFERROR(IF(AND(ISNUMBER(E9),E9&gt;=参数!$B$3,E9&lt;=参数!$B$4,E9=INT(E9),TRIM(F9)&lt;&gt;""),1,0),0)</x:f>
        <x:v>0</x:v>
      </x:c>
      <x:c r="L9" t="n">
        <x:f>IFERROR(K9*N(E9),0)</x:f>
        <x:v>0</x:v>
      </x:c>
    </x:row>
    <x:row r="10">
      <x:c r="A10" t="inlineStr">
        <x:is>
          <x:t xml:space="preserve">P01</x:t>
        </x:is>
      </x:c>
      <x:c r="B10" t="inlineStr">
        <x:is>
          <x:t xml:space="preserve">研究培养</x:t>
        </x:is>
      </x:c>
      <x:c r="C10" t="inlineStr">
        <x:is>
          <x:t xml:space="preserve">科研匹配</x:t>
        </x:is>
      </x:c>
      <x:c r="D10" t="inlineStr">
        <x:is>
          <x:t xml:space="preserve">研究方向相关性</x:t>
        </x:is>
      </x:c>
      <x:c r="G10" t="inlineStr">
        <x:is>
          <x:t xml:space="preserve">未知</x:t>
        </x:is>
      </x:c>
      <x:c r="I10" t="inlineStr">
        <x:is>
          <x:t xml:space="preserve">待逐条核验；不自动填分</x:t>
        </x:is>
      </x:c>
      <x:c r="J10" t="n">
        <x:f>'三级指标树'!G10</x:f>
        <x:v>0.0605</x:v>
      </x:c>
      <x:c r="K10" t="n">
        <x:f>IFERROR(IF(AND(ISNUMBER(E10),E10&gt;=参数!$B$3,E10&lt;=参数!$B$4,E10=INT(E10),TRIM(F10)&lt;&gt;""),1,0),0)</x:f>
        <x:v>0</x:v>
      </x:c>
      <x:c r="L10" t="n">
        <x:f>IFERROR(K10*N(E10),0)</x:f>
        <x:v>0</x:v>
      </x:c>
    </x:row>
    <x:row r="11">
      <x:c r="A11" t="inlineStr">
        <x:is>
          <x:t xml:space="preserve">P01</x:t>
        </x:is>
      </x:c>
      <x:c r="B11" t="inlineStr">
        <x:is>
          <x:t xml:space="preserve">研究培养</x:t>
        </x:is>
      </x:c>
      <x:c r="C11" t="inlineStr">
        <x:is>
          <x:t xml:space="preserve">科研匹配</x:t>
        </x:is>
      </x:c>
      <x:c r="D11" t="inlineStr">
        <x:is>
          <x:t xml:space="preserve">导师招生路径证据</x:t>
        </x:is>
      </x:c>
      <x:c r="G11" t="inlineStr">
        <x:is>
          <x:t xml:space="preserve">未知</x:t>
        </x:is>
      </x:c>
      <x:c r="I11" t="inlineStr">
        <x:is>
          <x:t xml:space="preserve">待逐条核验；不自动填分</x:t>
        </x:is>
      </x:c>
      <x:c r="J11" t="n">
        <x:f>'三级指标树'!G11</x:f>
        <x:v>0.0495</x:v>
      </x:c>
      <x:c r="K11" t="n">
        <x:f>IFERROR(IF(AND(ISNUMBER(E11),E11&gt;=参数!$B$3,E11&lt;=参数!$B$4,E11=INT(E11),TRIM(F11)&lt;&gt;""),1,0),0)</x:f>
        <x:v>0</x:v>
      </x:c>
      <x:c r="L11" t="n">
        <x:f>IFERROR(K11*N(E11),0)</x:f>
        <x:v>0</x:v>
      </x:c>
    </x:row>
    <x:row r="12">
      <x:c r="A12" t="inlineStr">
        <x:is>
          <x:t xml:space="preserve">P01</x:t>
        </x:is>
      </x:c>
      <x:c r="B12" t="inlineStr">
        <x:is>
          <x:t xml:space="preserve">研究培养</x:t>
        </x:is>
      </x:c>
      <x:c r="C12" t="inlineStr">
        <x:is>
          <x:t xml:space="preserve">培养可进入</x:t>
        </x:is>
      </x:c>
      <x:c r="D12" t="inlineStr">
        <x:is>
          <x:t xml:space="preserve">实践机制适用性</x:t>
        </x:is>
      </x:c>
      <x:c r="G12" t="inlineStr">
        <x:is>
          <x:t xml:space="preserve">未知</x:t>
        </x:is>
      </x:c>
      <x:c r="I12" t="inlineStr">
        <x:is>
          <x:t xml:space="preserve">待逐条核验；不自动填分</x:t>
        </x:is>
      </x:c>
      <x:c r="J12" t="n">
        <x:f>'三级指标树'!G12</x:f>
        <x:v>0.045</x:v>
      </x:c>
      <x:c r="K12" t="n">
        <x:f>IFERROR(IF(AND(ISNUMBER(E12),E12&gt;=参数!$B$3,E12&lt;=参数!$B$4,E12=INT(E12),TRIM(F12)&lt;&gt;""),1,0),0)</x:f>
        <x:v>0</x:v>
      </x:c>
      <x:c r="L12" t="n">
        <x:f>IFERROR(K12*N(E12),0)</x:f>
        <x:v>0</x:v>
      </x:c>
    </x:row>
    <x:row r="13">
      <x:c r="A13" t="inlineStr">
        <x:is>
          <x:t xml:space="preserve">P01</x:t>
        </x:is>
      </x:c>
      <x:c r="B13" t="inlineStr">
        <x:is>
          <x:t xml:space="preserve">研究培养</x:t>
        </x:is>
      </x:c>
      <x:c r="C13" t="inlineStr">
        <x:is>
          <x:t xml:space="preserve">培养可进入</x:t>
        </x:is>
      </x:c>
      <x:c r="D13" t="inlineStr">
        <x:is>
          <x:t xml:space="preserve">平台资源可进入性</x:t>
        </x:is>
      </x:c>
      <x:c r="G13" t="inlineStr">
        <x:is>
          <x:t xml:space="preserve">未知</x:t>
        </x:is>
      </x:c>
      <x:c r="I13" t="inlineStr">
        <x:is>
          <x:t xml:space="preserve">待逐条核验；不自动填分</x:t>
        </x:is>
      </x:c>
      <x:c r="J13" t="n">
        <x:f>'三级指标树'!G13</x:f>
        <x:v>0.045</x:v>
      </x:c>
      <x:c r="K13" t="n">
        <x:f>IFERROR(IF(AND(ISNUMBER(E13),E13&gt;=参数!$B$3,E13&lt;=参数!$B$4,E13=INT(E13),TRIM(F13)&lt;&gt;""),1,0),0)</x:f>
        <x:v>0</x:v>
      </x:c>
      <x:c r="L13" t="n">
        <x:f>IFERROR(K13*N(E13),0)</x:f>
        <x:v>0</x:v>
      </x:c>
    </x:row>
    <x:row r="14">
      <x:c r="A14" t="inlineStr">
        <x:is>
          <x:t xml:space="preserve">P01</x:t>
        </x:is>
      </x:c>
      <x:c r="B14" t="inlineStr">
        <x:is>
          <x:t xml:space="preserve">地域生态</x:t>
        </x:is>
      </x:c>
      <x:c r="C14" t="inlineStr">
        <x:is>
          <x:t xml:space="preserve">产业机会</x:t>
        </x:is>
      </x:c>
      <x:c r="D14" t="inlineStr">
        <x:is>
          <x:t xml:space="preserve">城市AI岗位生态</x:t>
        </x:is>
      </x:c>
      <x:c r="G14" t="inlineStr">
        <x:is>
          <x:t xml:space="preserve">未知</x:t>
        </x:is>
      </x:c>
      <x:c r="I14" t="inlineStr">
        <x:is>
          <x:t xml:space="preserve">待逐条核验；不自动填分</x:t>
        </x:is>
      </x:c>
      <x:c r="J14" t="n">
        <x:f>'三级指标树'!G14</x:f>
        <x:v>0.04225</x:v>
      </x:c>
      <x:c r="K14" t="n">
        <x:f>IFERROR(IF(AND(ISNUMBER(E14),E14&gt;=参数!$B$3,E14&lt;=参数!$B$4,E14=INT(E14),TRIM(F14)&lt;&gt;""),1,0),0)</x:f>
        <x:v>0</x:v>
      </x:c>
      <x:c r="L14" t="n">
        <x:f>IFERROR(K14*N(E14),0)</x:f>
        <x:v>0</x:v>
      </x:c>
    </x:row>
    <x:row r="15">
      <x:c r="A15" t="inlineStr">
        <x:is>
          <x:t xml:space="preserve">P01</x:t>
        </x:is>
      </x:c>
      <x:c r="B15" t="inlineStr">
        <x:is>
          <x:t xml:space="preserve">地域生态</x:t>
        </x:is>
      </x:c>
      <x:c r="C15" t="inlineStr">
        <x:is>
          <x:t xml:space="preserve">产业机会</x:t>
        </x:is>
      </x:c>
      <x:c r="D15" t="inlineStr">
        <x:is>
          <x:t xml:space="preserve">实习合作半径</x:t>
        </x:is>
      </x:c>
      <x:c r="G15" t="inlineStr">
        <x:is>
          <x:t xml:space="preserve">未知</x:t>
        </x:is>
      </x:c>
      <x:c r="I15" t="inlineStr">
        <x:is>
          <x:t xml:space="preserve">待逐条核验；不自动填分</x:t>
        </x:is>
      </x:c>
      <x:c r="J15" t="n">
        <x:f>'三级指标树'!G15</x:f>
        <x:v>0.02275</x:v>
      </x:c>
      <x:c r="K15" t="n">
        <x:f>IFERROR(IF(AND(ISNUMBER(E15),E15&gt;=参数!$B$3,E15&lt;=参数!$B$4,E15=INT(E15),TRIM(F15)&lt;&gt;""),1,0),0)</x:f>
        <x:v>0</x:v>
      </x:c>
      <x:c r="L15" t="n">
        <x:f>IFERROR(K15*N(E15),0)</x:f>
        <x:v>0</x:v>
      </x:c>
    </x:row>
    <x:row r="16">
      <x:c r="A16" t="inlineStr">
        <x:is>
          <x:t xml:space="preserve">P01</x:t>
        </x:is>
      </x:c>
      <x:c r="B16" t="inlineStr">
        <x:is>
          <x:t xml:space="preserve">地域生态</x:t>
        </x:is>
      </x:c>
      <x:c r="C16" t="inlineStr">
        <x:is>
          <x:t xml:space="preserve">生活适配</x:t>
        </x:is>
      </x:c>
      <x:c r="D16" t="inlineStr">
        <x:is>
          <x:t xml:space="preserve">地域与气候</x:t>
        </x:is>
      </x:c>
      <x:c r="G16" t="inlineStr">
        <x:is>
          <x:t xml:space="preserve">未知</x:t>
        </x:is>
      </x:c>
      <x:c r="I16" t="inlineStr">
        <x:is>
          <x:t xml:space="preserve">待逐条核验；不自动填分</x:t>
        </x:is>
      </x:c>
      <x:c r="J16" t="n">
        <x:f>'三级指标树'!G16</x:f>
        <x:v>0.035</x:v>
      </x:c>
      <x:c r="K16" t="n">
        <x:f>IFERROR(IF(AND(ISNUMBER(E16),E16&gt;=参数!$B$3,E16&lt;=参数!$B$4,E16=INT(E16),TRIM(F16)&lt;&gt;""),1,0),0)</x:f>
        <x:v>0</x:v>
      </x:c>
      <x:c r="L16" t="n">
        <x:f>IFERROR(K16*N(E16),0)</x:f>
        <x:v>0</x:v>
      </x:c>
    </x:row>
    <x:row r="17">
      <x:c r="A17" t="inlineStr">
        <x:is>
          <x:t xml:space="preserve">P01</x:t>
        </x:is>
      </x:c>
      <x:c r="B17" t="inlineStr">
        <x:is>
          <x:t xml:space="preserve">成本安排</x:t>
        </x:is>
      </x:c>
      <x:c r="C17" t="inlineStr">
        <x:is>
          <x:t xml:space="preserve">经济成本</x:t>
        </x:is>
      </x:c>
      <x:c r="D17" t="inlineStr">
        <x:is>
          <x:t xml:space="preserve">学费及住宿</x:t>
        </x:is>
      </x:c>
      <x:c r="G17" t="inlineStr">
        <x:is>
          <x:t xml:space="preserve">未知</x:t>
        </x:is>
      </x:c>
      <x:c r="I17" t="inlineStr">
        <x:is>
          <x:t xml:space="preserve">待逐条核验；不自动填分</x:t>
        </x:is>
      </x:c>
      <x:c r="J17" t="n">
        <x:f>'三级指标树'!G17</x:f>
        <x:v>0.015125</x:v>
      </x:c>
      <x:c r="K17" t="n">
        <x:f>IFERROR(IF(AND(ISNUMBER(E17),E17&gt;=参数!$B$3,E17&lt;=参数!$B$4,E17=INT(E17),TRIM(F17)&lt;&gt;""),1,0),0)</x:f>
        <x:v>0</x:v>
      </x:c>
      <x:c r="L17" t="n">
        <x:f>IFERROR(K17*N(E17),0)</x:f>
        <x:v>0</x:v>
      </x:c>
    </x:row>
    <x:row r="18">
      <x:c r="A18" t="inlineStr">
        <x:is>
          <x:t xml:space="preserve">P01</x:t>
        </x:is>
      </x:c>
      <x:c r="B18" t="inlineStr">
        <x:is>
          <x:t xml:space="preserve">成本安排</x:t>
        </x:is>
      </x:c>
      <x:c r="C18" t="inlineStr">
        <x:is>
          <x:t xml:space="preserve">经济成本</x:t>
        </x:is>
      </x:c>
      <x:c r="D18" t="inlineStr">
        <x:is>
          <x:t xml:space="preserve">异地与额外支出</x:t>
        </x:is>
      </x:c>
      <x:c r="G18" t="inlineStr">
        <x:is>
          <x:t xml:space="preserve">未知</x:t>
        </x:is>
      </x:c>
      <x:c r="I18" t="inlineStr">
        <x:is>
          <x:t xml:space="preserve">待逐条核验；不自动填分</x:t>
        </x:is>
      </x:c>
      <x:c r="J18" t="n">
        <x:f>'三级指标树'!G18</x:f>
        <x:v>0.012375</x:v>
      </x:c>
      <x:c r="K18" t="n">
        <x:f>IFERROR(IF(AND(ISNUMBER(E18),E18&gt;=参数!$B$3,E18&lt;=参数!$B$4,E18=INT(E18),TRIM(F18)&lt;&gt;""),1,0),0)</x:f>
        <x:v>0</x:v>
      </x:c>
      <x:c r="L18" t="n">
        <x:f>IFERROR(K18*N(E18),0)</x:f>
        <x:v>0</x:v>
      </x:c>
    </x:row>
    <x:row r="19">
      <x:c r="A19" t="inlineStr">
        <x:is>
          <x:t xml:space="preserve">P01</x:t>
        </x:is>
      </x:c>
      <x:c r="B19" t="inlineStr">
        <x:is>
          <x:t xml:space="preserve">成本安排</x:t>
        </x:is>
      </x:c>
      <x:c r="C19" t="inlineStr">
        <x:is>
          <x:t xml:space="preserve">培养安排</x:t>
        </x:is>
      </x:c>
      <x:c r="D19" t="inlineStr">
        <x:is>
          <x:t xml:space="preserve">学制与企业实践</x:t>
        </x:is>
      </x:c>
      <x:c r="G19" t="inlineStr">
        <x:is>
          <x:t xml:space="preserve">未知</x:t>
        </x:is>
      </x:c>
      <x:c r="I19" t="inlineStr">
        <x:is>
          <x:t xml:space="preserve">待逐条核验；不自动填分</x:t>
        </x:is>
      </x:c>
      <x:c r="J19" t="n">
        <x:f>'三级指标树'!G19</x:f>
        <x:v>0.0225</x:v>
      </x:c>
      <x:c r="K19" t="n">
        <x:f>IFERROR(IF(AND(ISNUMBER(E19),E19&gt;=参数!$B$3,E19&lt;=参数!$B$4,E19=INT(E19),TRIM(F19)&lt;&gt;""),1,0),0)</x:f>
        <x:v>0</x:v>
      </x:c>
      <x:c r="L19" t="n">
        <x:f>IFERROR(K19*N(E19),0)</x:f>
        <x:v>0</x:v>
      </x:c>
    </x:row>
    <x:row r="20">
      <x:c r="A20" t="inlineStr">
        <x:is>
          <x:t xml:space="preserve">P02</x:t>
        </x:is>
      </x:c>
      <x:c r="B20" t="inlineStr">
        <x:is>
          <x:t xml:space="preserve">职业发展</x:t>
        </x:is>
      </x:c>
      <x:c r="C20" t="inlineStr">
        <x:is>
          <x:t xml:space="preserve">AI工程就业</x:t>
        </x:is>
      </x:c>
      <x:c r="D20" t="inlineStr">
        <x:is>
          <x:t xml:space="preserve">岗位与实习机会</x:t>
        </x:is>
      </x:c>
      <x:c r="G20" t="inlineStr">
        <x:is>
          <x:t xml:space="preserve">未知</x:t>
        </x:is>
      </x:c>
      <x:c r="I20" t="inlineStr">
        <x:is>
          <x:t xml:space="preserve">待逐条核验；不自动填分</x:t>
        </x:is>
      </x:c>
      <x:c r="J20" t="n">
        <x:f>'三级指标树'!G2</x:f>
        <x:v>0.105</x:v>
      </x:c>
      <x:c r="K20" t="n">
        <x:f>IFERROR(IF(AND(ISNUMBER(E20),E20&gt;=参数!$B$3,E20&lt;=参数!$B$4,E20=INT(E20),TRIM(F20)&lt;&gt;""),1,0),0)</x:f>
        <x:v>0</x:v>
      </x:c>
      <x:c r="L20" t="n">
        <x:f>IFERROR(K20*N(E20),0)</x:f>
        <x:v>0</x:v>
      </x:c>
    </x:row>
    <x:row r="21">
      <x:c r="A21" t="inlineStr">
        <x:is>
          <x:t xml:space="preserve">P02</x:t>
        </x:is>
      </x:c>
      <x:c r="B21" t="inlineStr">
        <x:is>
          <x:t xml:space="preserve">职业发展</x:t>
        </x:is>
      </x:c>
      <x:c r="C21" t="inlineStr">
        <x:is>
          <x:t xml:space="preserve">AI工程就业</x:t>
        </x:is>
      </x:c>
      <x:c r="D21" t="inlineStr">
        <x:is>
          <x:t xml:space="preserve">产业合作可参与性</x:t>
        </x:is>
      </x:c>
      <x:c r="G21" t="inlineStr">
        <x:is>
          <x:t xml:space="preserve">未知</x:t>
        </x:is>
      </x:c>
      <x:c r="I21" t="inlineStr">
        <x:is>
          <x:t xml:space="preserve">待逐条核验；不自动填分</x:t>
        </x:is>
      </x:c>
      <x:c r="J21" t="n">
        <x:f>'三级指标树'!G3</x:f>
        <x:v>0.07</x:v>
      </x:c>
      <x:c r="K21" t="n">
        <x:f>IFERROR(IF(AND(ISNUMBER(E21),E21&gt;=参数!$B$3,E21&lt;=参数!$B$4,E21=INT(E21),TRIM(F21)&lt;&gt;""),1,0),0)</x:f>
        <x:v>0</x:v>
      </x:c>
      <x:c r="L21" t="n">
        <x:f>IFERROR(K21*N(E21),0)</x:f>
        <x:v>0</x:v>
      </x:c>
    </x:row>
    <x:row r="22">
      <x:c r="A22" t="inlineStr">
        <x:is>
          <x:t xml:space="preserve">P02</x:t>
        </x:is>
      </x:c>
      <x:c r="B22" t="inlineStr">
        <x:is>
          <x:t xml:space="preserve">职业发展</x:t>
        </x:is>
      </x:c>
      <x:c r="C22" t="inlineStr">
        <x:is>
          <x:t xml:space="preserve">长期成长</x:t>
        </x:is>
      </x:c>
      <x:c r="D22" t="inlineStr">
        <x:is>
          <x:t xml:space="preserve">Agent/LLM能力积累</x:t>
        </x:is>
      </x:c>
      <x:c r="G22" t="inlineStr">
        <x:is>
          <x:t xml:space="preserve">未知</x:t>
        </x:is>
      </x:c>
      <x:c r="I22" t="inlineStr">
        <x:is>
          <x:t xml:space="preserve">待逐条核验；不自动填分</x:t>
        </x:is>
      </x:c>
      <x:c r="J22" t="n">
        <x:f>'三级指标树'!G4</x:f>
        <x:v>0.105</x:v>
      </x:c>
      <x:c r="K22" t="n">
        <x:f>IFERROR(IF(AND(ISNUMBER(E22),E22&gt;=参数!$B$3,E22&lt;=参数!$B$4,E22=INT(E22),TRIM(F22)&lt;&gt;""),1,0),0)</x:f>
        <x:v>0</x:v>
      </x:c>
      <x:c r="L22" t="n">
        <x:f>IFERROR(K22*N(E22),0)</x:f>
        <x:v>0</x:v>
      </x:c>
    </x:row>
    <x:row r="23">
      <x:c r="A23" t="inlineStr">
        <x:is>
          <x:t xml:space="preserve">P02</x:t>
        </x:is>
      </x:c>
      <x:c r="B23" t="inlineStr">
        <x:is>
          <x:t xml:space="preserve">职业发展</x:t>
        </x:is>
      </x:c>
      <x:c r="C23" t="inlineStr">
        <x:is>
          <x:t xml:space="preserve">长期成长</x:t>
        </x:is>
      </x:c>
      <x:c r="D23" t="inlineStr">
        <x:is>
          <x:t xml:space="preserve">具身/机器人发展空间</x:t>
        </x:is>
      </x:c>
      <x:c r="G23" t="inlineStr">
        <x:is>
          <x:t xml:space="preserve">未知</x:t>
        </x:is>
      </x:c>
      <x:c r="I23" t="inlineStr">
        <x:is>
          <x:t xml:space="preserve">待逐条核验；不自动填分</x:t>
        </x:is>
      </x:c>
      <x:c r="J23" t="n">
        <x:f>'三级指标树'!G5</x:f>
        <x:v>0.07</x:v>
      </x:c>
      <x:c r="K23" t="n">
        <x:f>IFERROR(IF(AND(ISNUMBER(E23),E23&gt;=参数!$B$3,E23&lt;=参数!$B$4,E23=INT(E23),TRIM(F23)&lt;&gt;""),1,0),0)</x:f>
        <x:v>0</x:v>
      </x:c>
      <x:c r="L23" t="n">
        <x:f>IFERROR(K23*N(E23),0)</x:f>
        <x:v>0</x:v>
      </x:c>
    </x:row>
    <x:row r="24">
      <x:c r="A24" t="inlineStr">
        <x:is>
          <x:t xml:space="preserve">P02</x:t>
        </x:is>
      </x:c>
      <x:c r="B24" t="inlineStr">
        <x:is>
          <x:t xml:space="preserve">报考可行性</x:t>
        </x:is>
      </x:c>
      <x:c r="C24" t="inlineStr">
        <x:is>
          <x:t xml:space="preserve">招生路径</x:t>
        </x:is>
      </x:c>
      <x:c r="D24" t="inlineStr">
        <x:is>
          <x:t xml:space="preserve">全日制统考路径明确性</x:t>
        </x:is>
      </x:c>
      <x:c r="G24" t="inlineStr">
        <x:is>
          <x:t xml:space="preserve">未知</x:t>
        </x:is>
      </x:c>
      <x:c r="I24" t="inlineStr">
        <x:is>
          <x:t xml:space="preserve">待逐条核验；不自动填分</x:t>
        </x:is>
      </x:c>
      <x:c r="J24" t="n">
        <x:f>'三级指标树'!G6</x:f>
        <x:v>0.099</x:v>
      </x:c>
      <x:c r="K24" t="n">
        <x:f>IFERROR(IF(AND(ISNUMBER(E24),E24&gt;=参数!$B$3,E24&lt;=参数!$B$4,E24=INT(E24),TRIM(F24)&lt;&gt;""),1,0),0)</x:f>
        <x:v>0</x:v>
      </x:c>
      <x:c r="L24" t="n">
        <x:f>IFERROR(K24*N(E24),0)</x:f>
        <x:v>0</x:v>
      </x:c>
    </x:row>
    <x:row r="25">
      <x:c r="A25" t="inlineStr">
        <x:is>
          <x:t xml:space="preserve">P02</x:t>
        </x:is>
      </x:c>
      <x:c r="B25" t="inlineStr">
        <x:is>
          <x:t xml:space="preserve">报考可行性</x:t>
        </x:is>
      </x:c>
      <x:c r="C25" t="inlineStr">
        <x:is>
          <x:t xml:space="preserve">招生路径</x:t>
        </x:is>
      </x:c>
      <x:c r="D25" t="inlineStr">
        <x:is>
          <x:t xml:space="preserve">名额口径可靠性</x:t>
        </x:is>
      </x:c>
      <x:c r="G25" t="inlineStr">
        <x:is>
          <x:t xml:space="preserve">未知</x:t>
        </x:is>
      </x:c>
      <x:c r="I25" t="inlineStr">
        <x:is>
          <x:t xml:space="preserve">待逐条核验；不自动填分</x:t>
        </x:is>
      </x:c>
      <x:c r="J25" t="n">
        <x:f>'三级指标树'!G7</x:f>
        <x:v>0.066</x:v>
      </x:c>
      <x:c r="K25" t="n">
        <x:f>IFERROR(IF(AND(ISNUMBER(E25),E25&gt;=参数!$B$3,E25&lt;=参数!$B$4,E25=INT(E25),TRIM(F25)&lt;&gt;""),1,0),0)</x:f>
        <x:v>0</x:v>
      </x:c>
      <x:c r="L25" t="n">
        <x:f>IFERROR(K25*N(E25),0)</x:f>
        <x:v>0</x:v>
      </x:c>
    </x:row>
    <x:row r="26">
      <x:c r="A26" t="inlineStr">
        <x:is>
          <x:t xml:space="preserve">P02</x:t>
        </x:is>
      </x:c>
      <x:c r="B26" t="inlineStr">
        <x:is>
          <x:t xml:space="preserve">报考可行性</x:t>
        </x:is>
      </x:c>
      <x:c r="C26" t="inlineStr">
        <x:is>
          <x:t xml:space="preserve">考试风险</x:t>
        </x:is>
      </x:c>
      <x:c r="D26" t="inlineStr">
        <x:is>
          <x:t xml:space="preserve">初复试科目稳定性</x:t>
        </x:is>
      </x:c>
      <x:c r="G26" t="inlineStr">
        <x:is>
          <x:t xml:space="preserve">未知</x:t>
        </x:is>
      </x:c>
      <x:c r="I26" t="inlineStr">
        <x:is>
          <x:t xml:space="preserve">待逐条核验；不自动填分</x:t>
        </x:is>
      </x:c>
      <x:c r="J26" t="n">
        <x:f>'三级指标树'!G8</x:f>
        <x:v>0.07425</x:v>
      </x:c>
      <x:c r="K26" t="n">
        <x:f>IFERROR(IF(AND(ISNUMBER(E26),E26&gt;=参数!$B$3,E26&lt;=参数!$B$4,E26=INT(E26),TRIM(F26)&lt;&gt;""),1,0),0)</x:f>
        <x:v>0</x:v>
      </x:c>
      <x:c r="L26" t="n">
        <x:f>IFERROR(K26*N(E26),0)</x:f>
        <x:v>0</x:v>
      </x:c>
    </x:row>
    <x:row r="27">
      <x:c r="A27" t="inlineStr">
        <x:is>
          <x:t xml:space="preserve">P02</x:t>
        </x:is>
      </x:c>
      <x:c r="B27" t="inlineStr">
        <x:is>
          <x:t xml:space="preserve">报考可行性</x:t>
        </x:is>
      </x:c>
      <x:c r="C27" t="inlineStr">
        <x:is>
          <x:t xml:space="preserve">考试风险</x:t>
        </x:is>
      </x:c>
      <x:c r="D27" t="inlineStr">
        <x:is>
          <x:t xml:space="preserve">复试规则可预期性</x:t>
        </x:is>
      </x:c>
      <x:c r="G27" t="inlineStr">
        <x:is>
          <x:t xml:space="preserve">未知</x:t>
        </x:is>
      </x:c>
      <x:c r="I27" t="inlineStr">
        <x:is>
          <x:t xml:space="preserve">待逐条核验；不自动填分</x:t>
        </x:is>
      </x:c>
      <x:c r="J27" t="n">
        <x:f>'三级指标树'!G9</x:f>
        <x:v>0.06075</x:v>
      </x:c>
      <x:c r="K27" t="n">
        <x:f>IFERROR(IF(AND(ISNUMBER(E27),E27&gt;=参数!$B$3,E27&lt;=参数!$B$4,E27=INT(E27),TRIM(F27)&lt;&gt;""),1,0),0)</x:f>
        <x:v>0</x:v>
      </x:c>
      <x:c r="L27" t="n">
        <x:f>IFERROR(K27*N(E27),0)</x:f>
        <x:v>0</x:v>
      </x:c>
    </x:row>
    <x:row r="28">
      <x:c r="A28" t="inlineStr">
        <x:is>
          <x:t xml:space="preserve">P02</x:t>
        </x:is>
      </x:c>
      <x:c r="B28" t="inlineStr">
        <x:is>
          <x:t xml:space="preserve">研究培养</x:t>
        </x:is>
      </x:c>
      <x:c r="C28" t="inlineStr">
        <x:is>
          <x:t xml:space="preserve">科研匹配</x:t>
        </x:is>
      </x:c>
      <x:c r="D28" t="inlineStr">
        <x:is>
          <x:t xml:space="preserve">研究方向相关性</x:t>
        </x:is>
      </x:c>
      <x:c r="G28" t="inlineStr">
        <x:is>
          <x:t xml:space="preserve">未知</x:t>
        </x:is>
      </x:c>
      <x:c r="I28" t="inlineStr">
        <x:is>
          <x:t xml:space="preserve">待逐条核验；不自动填分</x:t>
        </x:is>
      </x:c>
      <x:c r="J28" t="n">
        <x:f>'三级指标树'!G10</x:f>
        <x:v>0.0605</x:v>
      </x:c>
      <x:c r="K28" t="n">
        <x:f>IFERROR(IF(AND(ISNUMBER(E28),E28&gt;=参数!$B$3,E28&lt;=参数!$B$4,E28=INT(E28),TRIM(F28)&lt;&gt;""),1,0),0)</x:f>
        <x:v>0</x:v>
      </x:c>
      <x:c r="L28" t="n">
        <x:f>IFERROR(K28*N(E28),0)</x:f>
        <x:v>0</x:v>
      </x:c>
    </x:row>
    <x:row r="29">
      <x:c r="A29" t="inlineStr">
        <x:is>
          <x:t xml:space="preserve">P02</x:t>
        </x:is>
      </x:c>
      <x:c r="B29" t="inlineStr">
        <x:is>
          <x:t xml:space="preserve">研究培养</x:t>
        </x:is>
      </x:c>
      <x:c r="C29" t="inlineStr">
        <x:is>
          <x:t xml:space="preserve">科研匹配</x:t>
        </x:is>
      </x:c>
      <x:c r="D29" t="inlineStr">
        <x:is>
          <x:t xml:space="preserve">导师招生路径证据</x:t>
        </x:is>
      </x:c>
      <x:c r="G29" t="inlineStr">
        <x:is>
          <x:t xml:space="preserve">未知</x:t>
        </x:is>
      </x:c>
      <x:c r="I29" t="inlineStr">
        <x:is>
          <x:t xml:space="preserve">待逐条核验；不自动填分</x:t>
        </x:is>
      </x:c>
      <x:c r="J29" t="n">
        <x:f>'三级指标树'!G11</x:f>
        <x:v>0.0495</x:v>
      </x:c>
      <x:c r="K29" t="n">
        <x:f>IFERROR(IF(AND(ISNUMBER(E29),E29&gt;=参数!$B$3,E29&lt;=参数!$B$4,E29=INT(E29),TRIM(F29)&lt;&gt;""),1,0),0)</x:f>
        <x:v>0</x:v>
      </x:c>
      <x:c r="L29" t="n">
        <x:f>IFERROR(K29*N(E29),0)</x:f>
        <x:v>0</x:v>
      </x:c>
    </x:row>
    <x:row r="30">
      <x:c r="A30" t="inlineStr">
        <x:is>
          <x:t xml:space="preserve">P02</x:t>
        </x:is>
      </x:c>
      <x:c r="B30" t="inlineStr">
        <x:is>
          <x:t xml:space="preserve">研究培养</x:t>
        </x:is>
      </x:c>
      <x:c r="C30" t="inlineStr">
        <x:is>
          <x:t xml:space="preserve">培养可进入</x:t>
        </x:is>
      </x:c>
      <x:c r="D30" t="inlineStr">
        <x:is>
          <x:t xml:space="preserve">实践机制适用性</x:t>
        </x:is>
      </x:c>
      <x:c r="G30" t="inlineStr">
        <x:is>
          <x:t xml:space="preserve">未知</x:t>
        </x:is>
      </x:c>
      <x:c r="I30" t="inlineStr">
        <x:is>
          <x:t xml:space="preserve">待逐条核验；不自动填分</x:t>
        </x:is>
      </x:c>
      <x:c r="J30" t="n">
        <x:f>'三级指标树'!G12</x:f>
        <x:v>0.045</x:v>
      </x:c>
      <x:c r="K30" t="n">
        <x:f>IFERROR(IF(AND(ISNUMBER(E30),E30&gt;=参数!$B$3,E30&lt;=参数!$B$4,E30=INT(E30),TRIM(F30)&lt;&gt;""),1,0),0)</x:f>
        <x:v>0</x:v>
      </x:c>
      <x:c r="L30" t="n">
        <x:f>IFERROR(K30*N(E30),0)</x:f>
        <x:v>0</x:v>
      </x:c>
    </x:row>
    <x:row r="31">
      <x:c r="A31" t="inlineStr">
        <x:is>
          <x:t xml:space="preserve">P02</x:t>
        </x:is>
      </x:c>
      <x:c r="B31" t="inlineStr">
        <x:is>
          <x:t xml:space="preserve">研究培养</x:t>
        </x:is>
      </x:c>
      <x:c r="C31" t="inlineStr">
        <x:is>
          <x:t xml:space="preserve">培养可进入</x:t>
        </x:is>
      </x:c>
      <x:c r="D31" t="inlineStr">
        <x:is>
          <x:t xml:space="preserve">平台资源可进入性</x:t>
        </x:is>
      </x:c>
      <x:c r="G31" t="inlineStr">
        <x:is>
          <x:t xml:space="preserve">未知</x:t>
        </x:is>
      </x:c>
      <x:c r="I31" t="inlineStr">
        <x:is>
          <x:t xml:space="preserve">待逐条核验；不自动填分</x:t>
        </x:is>
      </x:c>
      <x:c r="J31" t="n">
        <x:f>'三级指标树'!G13</x:f>
        <x:v>0.045</x:v>
      </x:c>
      <x:c r="K31" t="n">
        <x:f>IFERROR(IF(AND(ISNUMBER(E31),E31&gt;=参数!$B$3,E31&lt;=参数!$B$4,E31=INT(E31),TRIM(F31)&lt;&gt;""),1,0),0)</x:f>
        <x:v>0</x:v>
      </x:c>
      <x:c r="L31" t="n">
        <x:f>IFERROR(K31*N(E31),0)</x:f>
        <x:v>0</x:v>
      </x:c>
    </x:row>
    <x:row r="32">
      <x:c r="A32" t="inlineStr">
        <x:is>
          <x:t xml:space="preserve">P02</x:t>
        </x:is>
      </x:c>
      <x:c r="B32" t="inlineStr">
        <x:is>
          <x:t xml:space="preserve">地域生态</x:t>
        </x:is>
      </x:c>
      <x:c r="C32" t="inlineStr">
        <x:is>
          <x:t xml:space="preserve">产业机会</x:t>
        </x:is>
      </x:c>
      <x:c r="D32" t="inlineStr">
        <x:is>
          <x:t xml:space="preserve">城市AI岗位生态</x:t>
        </x:is>
      </x:c>
      <x:c r="G32" t="inlineStr">
        <x:is>
          <x:t xml:space="preserve">未知</x:t>
        </x:is>
      </x:c>
      <x:c r="I32" t="inlineStr">
        <x:is>
          <x:t xml:space="preserve">待逐条核验；不自动填分</x:t>
        </x:is>
      </x:c>
      <x:c r="J32" t="n">
        <x:f>'三级指标树'!G14</x:f>
        <x:v>0.04225</x:v>
      </x:c>
      <x:c r="K32" t="n">
        <x:f>IFERROR(IF(AND(ISNUMBER(E32),E32&gt;=参数!$B$3,E32&lt;=参数!$B$4,E32=INT(E32),TRIM(F32)&lt;&gt;""),1,0),0)</x:f>
        <x:v>0</x:v>
      </x:c>
      <x:c r="L32" t="n">
        <x:f>IFERROR(K32*N(E32),0)</x:f>
        <x:v>0</x:v>
      </x:c>
    </x:row>
    <x:row r="33">
      <x:c r="A33" t="inlineStr">
        <x:is>
          <x:t xml:space="preserve">P02</x:t>
        </x:is>
      </x:c>
      <x:c r="B33" t="inlineStr">
        <x:is>
          <x:t xml:space="preserve">地域生态</x:t>
        </x:is>
      </x:c>
      <x:c r="C33" t="inlineStr">
        <x:is>
          <x:t xml:space="preserve">产业机会</x:t>
        </x:is>
      </x:c>
      <x:c r="D33" t="inlineStr">
        <x:is>
          <x:t xml:space="preserve">实习合作半径</x:t>
        </x:is>
      </x:c>
      <x:c r="G33" t="inlineStr">
        <x:is>
          <x:t xml:space="preserve">未知</x:t>
        </x:is>
      </x:c>
      <x:c r="I33" t="inlineStr">
        <x:is>
          <x:t xml:space="preserve">待逐条核验；不自动填分</x:t>
        </x:is>
      </x:c>
      <x:c r="J33" t="n">
        <x:f>'三级指标树'!G15</x:f>
        <x:v>0.02275</x:v>
      </x:c>
      <x:c r="K33" t="n">
        <x:f>IFERROR(IF(AND(ISNUMBER(E33),E33&gt;=参数!$B$3,E33&lt;=参数!$B$4,E33=INT(E33),TRIM(F33)&lt;&gt;""),1,0),0)</x:f>
        <x:v>0</x:v>
      </x:c>
      <x:c r="L33" t="n">
        <x:f>IFERROR(K33*N(E33),0)</x:f>
        <x:v>0</x:v>
      </x:c>
    </x:row>
    <x:row r="34">
      <x:c r="A34" t="inlineStr">
        <x:is>
          <x:t xml:space="preserve">P02</x:t>
        </x:is>
      </x:c>
      <x:c r="B34" t="inlineStr">
        <x:is>
          <x:t xml:space="preserve">地域生态</x:t>
        </x:is>
      </x:c>
      <x:c r="C34" t="inlineStr">
        <x:is>
          <x:t xml:space="preserve">生活适配</x:t>
        </x:is>
      </x:c>
      <x:c r="D34" t="inlineStr">
        <x:is>
          <x:t xml:space="preserve">地域与气候</x:t>
        </x:is>
      </x:c>
      <x:c r="G34" t="inlineStr">
        <x:is>
          <x:t xml:space="preserve">未知</x:t>
        </x:is>
      </x:c>
      <x:c r="I34" t="inlineStr">
        <x:is>
          <x:t xml:space="preserve">待逐条核验；不自动填分</x:t>
        </x:is>
      </x:c>
      <x:c r="J34" t="n">
        <x:f>'三级指标树'!G16</x:f>
        <x:v>0.035</x:v>
      </x:c>
      <x:c r="K34" t="n">
        <x:f>IFERROR(IF(AND(ISNUMBER(E34),E34&gt;=参数!$B$3,E34&lt;=参数!$B$4,E34=INT(E34),TRIM(F34)&lt;&gt;""),1,0),0)</x:f>
        <x:v>0</x:v>
      </x:c>
      <x:c r="L34" t="n">
        <x:f>IFERROR(K34*N(E34),0)</x:f>
        <x:v>0</x:v>
      </x:c>
    </x:row>
    <x:row r="35">
      <x:c r="A35" t="inlineStr">
        <x:is>
          <x:t xml:space="preserve">P02</x:t>
        </x:is>
      </x:c>
      <x:c r="B35" t="inlineStr">
        <x:is>
          <x:t xml:space="preserve">成本安排</x:t>
        </x:is>
      </x:c>
      <x:c r="C35" t="inlineStr">
        <x:is>
          <x:t xml:space="preserve">经济成本</x:t>
        </x:is>
      </x:c>
      <x:c r="D35" t="inlineStr">
        <x:is>
          <x:t xml:space="preserve">学费及住宿</x:t>
        </x:is>
      </x:c>
      <x:c r="G35" t="inlineStr">
        <x:is>
          <x:t xml:space="preserve">未知</x:t>
        </x:is>
      </x:c>
      <x:c r="I35" t="inlineStr">
        <x:is>
          <x:t xml:space="preserve">待逐条核验；不自动填分</x:t>
        </x:is>
      </x:c>
      <x:c r="J35" t="n">
        <x:f>'三级指标树'!G17</x:f>
        <x:v>0.015125</x:v>
      </x:c>
      <x:c r="K35" t="n">
        <x:f>IFERROR(IF(AND(ISNUMBER(E35),E35&gt;=参数!$B$3,E35&lt;=参数!$B$4,E35=INT(E35),TRIM(F35)&lt;&gt;""),1,0),0)</x:f>
        <x:v>0</x:v>
      </x:c>
      <x:c r="L35" t="n">
        <x:f>IFERROR(K35*N(E35),0)</x:f>
        <x:v>0</x:v>
      </x:c>
    </x:row>
    <x:row r="36">
      <x:c r="A36" t="inlineStr">
        <x:is>
          <x:t xml:space="preserve">P02</x:t>
        </x:is>
      </x:c>
      <x:c r="B36" t="inlineStr">
        <x:is>
          <x:t xml:space="preserve">成本安排</x:t>
        </x:is>
      </x:c>
      <x:c r="C36" t="inlineStr">
        <x:is>
          <x:t xml:space="preserve">经济成本</x:t>
        </x:is>
      </x:c>
      <x:c r="D36" t="inlineStr">
        <x:is>
          <x:t xml:space="preserve">异地与额外支出</x:t>
        </x:is>
      </x:c>
      <x:c r="G36" t="inlineStr">
        <x:is>
          <x:t xml:space="preserve">未知</x:t>
        </x:is>
      </x:c>
      <x:c r="I36" t="inlineStr">
        <x:is>
          <x:t xml:space="preserve">待逐条核验；不自动填分</x:t>
        </x:is>
      </x:c>
      <x:c r="J36" t="n">
        <x:f>'三级指标树'!G18</x:f>
        <x:v>0.012375</x:v>
      </x:c>
      <x:c r="K36" t="n">
        <x:f>IFERROR(IF(AND(ISNUMBER(E36),E36&gt;=参数!$B$3,E36&lt;=参数!$B$4,E36=INT(E36),TRIM(F36)&lt;&gt;""),1,0),0)</x:f>
        <x:v>0</x:v>
      </x:c>
      <x:c r="L36" t="n">
        <x:f>IFERROR(K36*N(E36),0)</x:f>
        <x:v>0</x:v>
      </x:c>
    </x:row>
    <x:row r="37">
      <x:c r="A37" t="inlineStr">
        <x:is>
          <x:t xml:space="preserve">P02</x:t>
        </x:is>
      </x:c>
      <x:c r="B37" t="inlineStr">
        <x:is>
          <x:t xml:space="preserve">成本安排</x:t>
        </x:is>
      </x:c>
      <x:c r="C37" t="inlineStr">
        <x:is>
          <x:t xml:space="preserve">培养安排</x:t>
        </x:is>
      </x:c>
      <x:c r="D37" t="inlineStr">
        <x:is>
          <x:t xml:space="preserve">学制与企业实践</x:t>
        </x:is>
      </x:c>
      <x:c r="G37" t="inlineStr">
        <x:is>
          <x:t xml:space="preserve">未知</x:t>
        </x:is>
      </x:c>
      <x:c r="I37" t="inlineStr">
        <x:is>
          <x:t xml:space="preserve">待逐条核验；不自动填分</x:t>
        </x:is>
      </x:c>
      <x:c r="J37" t="n">
        <x:f>'三级指标树'!G19</x:f>
        <x:v>0.0225</x:v>
      </x:c>
      <x:c r="K37" t="n">
        <x:f>IFERROR(IF(AND(ISNUMBER(E37),E37&gt;=参数!$B$3,E37&lt;=参数!$B$4,E37=INT(E37),TRIM(F37)&lt;&gt;""),1,0),0)</x:f>
        <x:v>0</x:v>
      </x:c>
      <x:c r="L37" t="n">
        <x:f>IFERROR(K37*N(E37),0)</x:f>
        <x:v>0</x:v>
      </x:c>
    </x:row>
    <x:row r="38">
      <x:c r="A38" t="inlineStr">
        <x:is>
          <x:t xml:space="preserve">P03</x:t>
        </x:is>
      </x:c>
      <x:c r="B38" t="inlineStr">
        <x:is>
          <x:t xml:space="preserve">职业发展</x:t>
        </x:is>
      </x:c>
      <x:c r="C38" t="inlineStr">
        <x:is>
          <x:t xml:space="preserve">AI工程就业</x:t>
        </x:is>
      </x:c>
      <x:c r="D38" t="inlineStr">
        <x:is>
          <x:t xml:space="preserve">岗位与实习机会</x:t>
        </x:is>
      </x:c>
      <x:c r="G38" t="inlineStr">
        <x:is>
          <x:t xml:space="preserve">未知</x:t>
        </x:is>
      </x:c>
      <x:c r="I38" t="inlineStr">
        <x:is>
          <x:t xml:space="preserve">待逐条核验；不自动填分</x:t>
        </x:is>
      </x:c>
      <x:c r="J38" t="n">
        <x:f>'三级指标树'!G2</x:f>
        <x:v>0.105</x:v>
      </x:c>
      <x:c r="K38" t="n">
        <x:f>IFERROR(IF(AND(ISNUMBER(E38),E38&gt;=参数!$B$3,E38&lt;=参数!$B$4,E38=INT(E38),TRIM(F38)&lt;&gt;""),1,0),0)</x:f>
        <x:v>0</x:v>
      </x:c>
      <x:c r="L38" t="n">
        <x:f>IFERROR(K38*N(E38),0)</x:f>
        <x:v>0</x:v>
      </x:c>
    </x:row>
    <x:row r="39">
      <x:c r="A39" t="inlineStr">
        <x:is>
          <x:t xml:space="preserve">P03</x:t>
        </x:is>
      </x:c>
      <x:c r="B39" t="inlineStr">
        <x:is>
          <x:t xml:space="preserve">职业发展</x:t>
        </x:is>
      </x:c>
      <x:c r="C39" t="inlineStr">
        <x:is>
          <x:t xml:space="preserve">AI工程就业</x:t>
        </x:is>
      </x:c>
      <x:c r="D39" t="inlineStr">
        <x:is>
          <x:t xml:space="preserve">产业合作可参与性</x:t>
        </x:is>
      </x:c>
      <x:c r="G39" t="inlineStr">
        <x:is>
          <x:t xml:space="preserve">未知</x:t>
        </x:is>
      </x:c>
      <x:c r="I39" t="inlineStr">
        <x:is>
          <x:t xml:space="preserve">待逐条核验；不自动填分</x:t>
        </x:is>
      </x:c>
      <x:c r="J39" t="n">
        <x:f>'三级指标树'!G3</x:f>
        <x:v>0.07</x:v>
      </x:c>
      <x:c r="K39" t="n">
        <x:f>IFERROR(IF(AND(ISNUMBER(E39),E39&gt;=参数!$B$3,E39&lt;=参数!$B$4,E39=INT(E39),TRIM(F39)&lt;&gt;""),1,0),0)</x:f>
        <x:v>0</x:v>
      </x:c>
      <x:c r="L39" t="n">
        <x:f>IFERROR(K39*N(E39),0)</x:f>
        <x:v>0</x:v>
      </x:c>
    </x:row>
    <x:row r="40">
      <x:c r="A40" t="inlineStr">
        <x:is>
          <x:t xml:space="preserve">P03</x:t>
        </x:is>
      </x:c>
      <x:c r="B40" t="inlineStr">
        <x:is>
          <x:t xml:space="preserve">职业发展</x:t>
        </x:is>
      </x:c>
      <x:c r="C40" t="inlineStr">
        <x:is>
          <x:t xml:space="preserve">长期成长</x:t>
        </x:is>
      </x:c>
      <x:c r="D40" t="inlineStr">
        <x:is>
          <x:t xml:space="preserve">Agent/LLM能力积累</x:t>
        </x:is>
      </x:c>
      <x:c r="G40" t="inlineStr">
        <x:is>
          <x:t xml:space="preserve">未知</x:t>
        </x:is>
      </x:c>
      <x:c r="I40" t="inlineStr">
        <x:is>
          <x:t xml:space="preserve">待逐条核验；不自动填分</x:t>
        </x:is>
      </x:c>
      <x:c r="J40" t="n">
        <x:f>'三级指标树'!G4</x:f>
        <x:v>0.105</x:v>
      </x:c>
      <x:c r="K40" t="n">
        <x:f>IFERROR(IF(AND(ISNUMBER(E40),E40&gt;=参数!$B$3,E40&lt;=参数!$B$4,E40=INT(E40),TRIM(F40)&lt;&gt;""),1,0),0)</x:f>
        <x:v>0</x:v>
      </x:c>
      <x:c r="L40" t="n">
        <x:f>IFERROR(K40*N(E40),0)</x:f>
        <x:v>0</x:v>
      </x:c>
    </x:row>
    <x:row r="41">
      <x:c r="A41" t="inlineStr">
        <x:is>
          <x:t xml:space="preserve">P03</x:t>
        </x:is>
      </x:c>
      <x:c r="B41" t="inlineStr">
        <x:is>
          <x:t xml:space="preserve">职业发展</x:t>
        </x:is>
      </x:c>
      <x:c r="C41" t="inlineStr">
        <x:is>
          <x:t xml:space="preserve">长期成长</x:t>
        </x:is>
      </x:c>
      <x:c r="D41" t="inlineStr">
        <x:is>
          <x:t xml:space="preserve">具身/机器人发展空间</x:t>
        </x:is>
      </x:c>
      <x:c r="G41" t="inlineStr">
        <x:is>
          <x:t xml:space="preserve">未知</x:t>
        </x:is>
      </x:c>
      <x:c r="I41" t="inlineStr">
        <x:is>
          <x:t xml:space="preserve">待逐条核验；不自动填分</x:t>
        </x:is>
      </x:c>
      <x:c r="J41" t="n">
        <x:f>'三级指标树'!G5</x:f>
        <x:v>0.07</x:v>
      </x:c>
      <x:c r="K41" t="n">
        <x:f>IFERROR(IF(AND(ISNUMBER(E41),E41&gt;=参数!$B$3,E41&lt;=参数!$B$4,E41=INT(E41),TRIM(F41)&lt;&gt;""),1,0),0)</x:f>
        <x:v>0</x:v>
      </x:c>
      <x:c r="L41" t="n">
        <x:f>IFERROR(K41*N(E41),0)</x:f>
        <x:v>0</x:v>
      </x:c>
    </x:row>
    <x:row r="42">
      <x:c r="A42" t="inlineStr">
        <x:is>
          <x:t xml:space="preserve">P03</x:t>
        </x:is>
      </x:c>
      <x:c r="B42" t="inlineStr">
        <x:is>
          <x:t xml:space="preserve">报考可行性</x:t>
        </x:is>
      </x:c>
      <x:c r="C42" t="inlineStr">
        <x:is>
          <x:t xml:space="preserve">招生路径</x:t>
        </x:is>
      </x:c>
      <x:c r="D42" t="inlineStr">
        <x:is>
          <x:t xml:space="preserve">全日制统考路径明确性</x:t>
        </x:is>
      </x:c>
      <x:c r="G42" t="inlineStr">
        <x:is>
          <x:t xml:space="preserve">未知</x:t>
        </x:is>
      </x:c>
      <x:c r="I42" t="inlineStr">
        <x:is>
          <x:t xml:space="preserve">待逐条核验；不自动填分</x:t>
        </x:is>
      </x:c>
      <x:c r="J42" t="n">
        <x:f>'三级指标树'!G6</x:f>
        <x:v>0.099</x:v>
      </x:c>
      <x:c r="K42" t="n">
        <x:f>IFERROR(IF(AND(ISNUMBER(E42),E42&gt;=参数!$B$3,E42&lt;=参数!$B$4,E42=INT(E42),TRIM(F42)&lt;&gt;""),1,0),0)</x:f>
        <x:v>0</x:v>
      </x:c>
      <x:c r="L42" t="n">
        <x:f>IFERROR(K42*N(E42),0)</x:f>
        <x:v>0</x:v>
      </x:c>
    </x:row>
    <x:row r="43">
      <x:c r="A43" t="inlineStr">
        <x:is>
          <x:t xml:space="preserve">P03</x:t>
        </x:is>
      </x:c>
      <x:c r="B43" t="inlineStr">
        <x:is>
          <x:t xml:space="preserve">报考可行性</x:t>
        </x:is>
      </x:c>
      <x:c r="C43" t="inlineStr">
        <x:is>
          <x:t xml:space="preserve">招生路径</x:t>
        </x:is>
      </x:c>
      <x:c r="D43" t="inlineStr">
        <x:is>
          <x:t xml:space="preserve">名额口径可靠性</x:t>
        </x:is>
      </x:c>
      <x:c r="G43" t="inlineStr">
        <x:is>
          <x:t xml:space="preserve">未知</x:t>
        </x:is>
      </x:c>
      <x:c r="I43" t="inlineStr">
        <x:is>
          <x:t xml:space="preserve">待逐条核验；不自动填分</x:t>
        </x:is>
      </x:c>
      <x:c r="J43" t="n">
        <x:f>'三级指标树'!G7</x:f>
        <x:v>0.066</x:v>
      </x:c>
      <x:c r="K43" t="n">
        <x:f>IFERROR(IF(AND(ISNUMBER(E43),E43&gt;=参数!$B$3,E43&lt;=参数!$B$4,E43=INT(E43),TRIM(F43)&lt;&gt;""),1,0),0)</x:f>
        <x:v>0</x:v>
      </x:c>
      <x:c r="L43" t="n">
        <x:f>IFERROR(K43*N(E43),0)</x:f>
        <x:v>0</x:v>
      </x:c>
    </x:row>
    <x:row r="44">
      <x:c r="A44" t="inlineStr">
        <x:is>
          <x:t xml:space="preserve">P03</x:t>
        </x:is>
      </x:c>
      <x:c r="B44" t="inlineStr">
        <x:is>
          <x:t xml:space="preserve">报考可行性</x:t>
        </x:is>
      </x:c>
      <x:c r="C44" t="inlineStr">
        <x:is>
          <x:t xml:space="preserve">考试风险</x:t>
        </x:is>
      </x:c>
      <x:c r="D44" t="inlineStr">
        <x:is>
          <x:t xml:space="preserve">初复试科目稳定性</x:t>
        </x:is>
      </x:c>
      <x:c r="G44" t="inlineStr">
        <x:is>
          <x:t xml:space="preserve">未知</x:t>
        </x:is>
      </x:c>
      <x:c r="I44" t="inlineStr">
        <x:is>
          <x:t xml:space="preserve">待逐条核验；不自动填分</x:t>
        </x:is>
      </x:c>
      <x:c r="J44" t="n">
        <x:f>'三级指标树'!G8</x:f>
        <x:v>0.07425</x:v>
      </x:c>
      <x:c r="K44" t="n">
        <x:f>IFERROR(IF(AND(ISNUMBER(E44),E44&gt;=参数!$B$3,E44&lt;=参数!$B$4,E44=INT(E44),TRIM(F44)&lt;&gt;""),1,0),0)</x:f>
        <x:v>0</x:v>
      </x:c>
      <x:c r="L44" t="n">
        <x:f>IFERROR(K44*N(E44),0)</x:f>
        <x:v>0</x:v>
      </x:c>
    </x:row>
    <x:row r="45">
      <x:c r="A45" t="inlineStr">
        <x:is>
          <x:t xml:space="preserve">P03</x:t>
        </x:is>
      </x:c>
      <x:c r="B45" t="inlineStr">
        <x:is>
          <x:t xml:space="preserve">报考可行性</x:t>
        </x:is>
      </x:c>
      <x:c r="C45" t="inlineStr">
        <x:is>
          <x:t xml:space="preserve">考试风险</x:t>
        </x:is>
      </x:c>
      <x:c r="D45" t="inlineStr">
        <x:is>
          <x:t xml:space="preserve">复试规则可预期性</x:t>
        </x:is>
      </x:c>
      <x:c r="G45" t="inlineStr">
        <x:is>
          <x:t xml:space="preserve">未知</x:t>
        </x:is>
      </x:c>
      <x:c r="I45" t="inlineStr">
        <x:is>
          <x:t xml:space="preserve">待逐条核验；不自动填分</x:t>
        </x:is>
      </x:c>
      <x:c r="J45" t="n">
        <x:f>'三级指标树'!G9</x:f>
        <x:v>0.06075</x:v>
      </x:c>
      <x:c r="K45" t="n">
        <x:f>IFERROR(IF(AND(ISNUMBER(E45),E45&gt;=参数!$B$3,E45&lt;=参数!$B$4,E45=INT(E45),TRIM(F45)&lt;&gt;""),1,0),0)</x:f>
        <x:v>0</x:v>
      </x:c>
      <x:c r="L45" t="n">
        <x:f>IFERROR(K45*N(E45),0)</x:f>
        <x:v>0</x:v>
      </x:c>
    </x:row>
    <x:row r="46">
      <x:c r="A46" t="inlineStr">
        <x:is>
          <x:t xml:space="preserve">P03</x:t>
        </x:is>
      </x:c>
      <x:c r="B46" t="inlineStr">
        <x:is>
          <x:t xml:space="preserve">研究培养</x:t>
        </x:is>
      </x:c>
      <x:c r="C46" t="inlineStr">
        <x:is>
          <x:t xml:space="preserve">科研匹配</x:t>
        </x:is>
      </x:c>
      <x:c r="D46" t="inlineStr">
        <x:is>
          <x:t xml:space="preserve">研究方向相关性</x:t>
        </x:is>
      </x:c>
      <x:c r="G46" t="inlineStr">
        <x:is>
          <x:t xml:space="preserve">未知</x:t>
        </x:is>
      </x:c>
      <x:c r="I46" t="inlineStr">
        <x:is>
          <x:t xml:space="preserve">待逐条核验；不自动填分</x:t>
        </x:is>
      </x:c>
      <x:c r="J46" t="n">
        <x:f>'三级指标树'!G10</x:f>
        <x:v>0.0605</x:v>
      </x:c>
      <x:c r="K46" t="n">
        <x:f>IFERROR(IF(AND(ISNUMBER(E46),E46&gt;=参数!$B$3,E46&lt;=参数!$B$4,E46=INT(E46),TRIM(F46)&lt;&gt;""),1,0),0)</x:f>
        <x:v>0</x:v>
      </x:c>
      <x:c r="L46" t="n">
        <x:f>IFERROR(K46*N(E46),0)</x:f>
        <x:v>0</x:v>
      </x:c>
    </x:row>
    <x:row r="47">
      <x:c r="A47" t="inlineStr">
        <x:is>
          <x:t xml:space="preserve">P03</x:t>
        </x:is>
      </x:c>
      <x:c r="B47" t="inlineStr">
        <x:is>
          <x:t xml:space="preserve">研究培养</x:t>
        </x:is>
      </x:c>
      <x:c r="C47" t="inlineStr">
        <x:is>
          <x:t xml:space="preserve">科研匹配</x:t>
        </x:is>
      </x:c>
      <x:c r="D47" t="inlineStr">
        <x:is>
          <x:t xml:space="preserve">导师招生路径证据</x:t>
        </x:is>
      </x:c>
      <x:c r="G47" t="inlineStr">
        <x:is>
          <x:t xml:space="preserve">未知</x:t>
        </x:is>
      </x:c>
      <x:c r="I47" t="inlineStr">
        <x:is>
          <x:t xml:space="preserve">待逐条核验；不自动填分</x:t>
        </x:is>
      </x:c>
      <x:c r="J47" t="n">
        <x:f>'三级指标树'!G11</x:f>
        <x:v>0.0495</x:v>
      </x:c>
      <x:c r="K47" t="n">
        <x:f>IFERROR(IF(AND(ISNUMBER(E47),E47&gt;=参数!$B$3,E47&lt;=参数!$B$4,E47=INT(E47),TRIM(F47)&lt;&gt;""),1,0),0)</x:f>
        <x:v>0</x:v>
      </x:c>
      <x:c r="L47" t="n">
        <x:f>IFERROR(K47*N(E47),0)</x:f>
        <x:v>0</x:v>
      </x:c>
    </x:row>
    <x:row r="48">
      <x:c r="A48" t="inlineStr">
        <x:is>
          <x:t xml:space="preserve">P03</x:t>
        </x:is>
      </x:c>
      <x:c r="B48" t="inlineStr">
        <x:is>
          <x:t xml:space="preserve">研究培养</x:t>
        </x:is>
      </x:c>
      <x:c r="C48" t="inlineStr">
        <x:is>
          <x:t xml:space="preserve">培养可进入</x:t>
        </x:is>
      </x:c>
      <x:c r="D48" t="inlineStr">
        <x:is>
          <x:t xml:space="preserve">实践机制适用性</x:t>
        </x:is>
      </x:c>
      <x:c r="G48" t="inlineStr">
        <x:is>
          <x:t xml:space="preserve">未知</x:t>
        </x:is>
      </x:c>
      <x:c r="I48" t="inlineStr">
        <x:is>
          <x:t xml:space="preserve">待逐条核验；不自动填分</x:t>
        </x:is>
      </x:c>
      <x:c r="J48" t="n">
        <x:f>'三级指标树'!G12</x:f>
        <x:v>0.045</x:v>
      </x:c>
      <x:c r="K48" t="n">
        <x:f>IFERROR(IF(AND(ISNUMBER(E48),E48&gt;=参数!$B$3,E48&lt;=参数!$B$4,E48=INT(E48),TRIM(F48)&lt;&gt;""),1,0),0)</x:f>
        <x:v>0</x:v>
      </x:c>
      <x:c r="L48" t="n">
        <x:f>IFERROR(K48*N(E48),0)</x:f>
        <x:v>0</x:v>
      </x:c>
    </x:row>
    <x:row r="49">
      <x:c r="A49" t="inlineStr">
        <x:is>
          <x:t xml:space="preserve">P03</x:t>
        </x:is>
      </x:c>
      <x:c r="B49" t="inlineStr">
        <x:is>
          <x:t xml:space="preserve">研究培养</x:t>
        </x:is>
      </x:c>
      <x:c r="C49" t="inlineStr">
        <x:is>
          <x:t xml:space="preserve">培养可进入</x:t>
        </x:is>
      </x:c>
      <x:c r="D49" t="inlineStr">
        <x:is>
          <x:t xml:space="preserve">平台资源可进入性</x:t>
        </x:is>
      </x:c>
      <x:c r="G49" t="inlineStr">
        <x:is>
          <x:t xml:space="preserve">未知</x:t>
        </x:is>
      </x:c>
      <x:c r="I49" t="inlineStr">
        <x:is>
          <x:t xml:space="preserve">待逐条核验；不自动填分</x:t>
        </x:is>
      </x:c>
      <x:c r="J49" t="n">
        <x:f>'三级指标树'!G13</x:f>
        <x:v>0.045</x:v>
      </x:c>
      <x:c r="K49" t="n">
        <x:f>IFERROR(IF(AND(ISNUMBER(E49),E49&gt;=参数!$B$3,E49&lt;=参数!$B$4,E49=INT(E49),TRIM(F49)&lt;&gt;""),1,0),0)</x:f>
        <x:v>0</x:v>
      </x:c>
      <x:c r="L49" t="n">
        <x:f>IFERROR(K49*N(E49),0)</x:f>
        <x:v>0</x:v>
      </x:c>
    </x:row>
    <x:row r="50">
      <x:c r="A50" t="inlineStr">
        <x:is>
          <x:t xml:space="preserve">P03</x:t>
        </x:is>
      </x:c>
      <x:c r="B50" t="inlineStr">
        <x:is>
          <x:t xml:space="preserve">地域生态</x:t>
        </x:is>
      </x:c>
      <x:c r="C50" t="inlineStr">
        <x:is>
          <x:t xml:space="preserve">产业机会</x:t>
        </x:is>
      </x:c>
      <x:c r="D50" t="inlineStr">
        <x:is>
          <x:t xml:space="preserve">城市AI岗位生态</x:t>
        </x:is>
      </x:c>
      <x:c r="G50" t="inlineStr">
        <x:is>
          <x:t xml:space="preserve">未知</x:t>
        </x:is>
      </x:c>
      <x:c r="I50" t="inlineStr">
        <x:is>
          <x:t xml:space="preserve">待逐条核验；不自动填分</x:t>
        </x:is>
      </x:c>
      <x:c r="J50" t="n">
        <x:f>'三级指标树'!G14</x:f>
        <x:v>0.04225</x:v>
      </x:c>
      <x:c r="K50" t="n">
        <x:f>IFERROR(IF(AND(ISNUMBER(E50),E50&gt;=参数!$B$3,E50&lt;=参数!$B$4,E50=INT(E50),TRIM(F50)&lt;&gt;""),1,0),0)</x:f>
        <x:v>0</x:v>
      </x:c>
      <x:c r="L50" t="n">
        <x:f>IFERROR(K50*N(E50),0)</x:f>
        <x:v>0</x:v>
      </x:c>
    </x:row>
    <x:row r="51">
      <x:c r="A51" t="inlineStr">
        <x:is>
          <x:t xml:space="preserve">P03</x:t>
        </x:is>
      </x:c>
      <x:c r="B51" t="inlineStr">
        <x:is>
          <x:t xml:space="preserve">地域生态</x:t>
        </x:is>
      </x:c>
      <x:c r="C51" t="inlineStr">
        <x:is>
          <x:t xml:space="preserve">产业机会</x:t>
        </x:is>
      </x:c>
      <x:c r="D51" t="inlineStr">
        <x:is>
          <x:t xml:space="preserve">实习合作半径</x:t>
        </x:is>
      </x:c>
      <x:c r="G51" t="inlineStr">
        <x:is>
          <x:t xml:space="preserve">未知</x:t>
        </x:is>
      </x:c>
      <x:c r="I51" t="inlineStr">
        <x:is>
          <x:t xml:space="preserve">待逐条核验；不自动填分</x:t>
        </x:is>
      </x:c>
      <x:c r="J51" t="n">
        <x:f>'三级指标树'!G15</x:f>
        <x:v>0.02275</x:v>
      </x:c>
      <x:c r="K51" t="n">
        <x:f>IFERROR(IF(AND(ISNUMBER(E51),E51&gt;=参数!$B$3,E51&lt;=参数!$B$4,E51=INT(E51),TRIM(F51)&lt;&gt;""),1,0),0)</x:f>
        <x:v>0</x:v>
      </x:c>
      <x:c r="L51" t="n">
        <x:f>IFERROR(K51*N(E51),0)</x:f>
        <x:v>0</x:v>
      </x:c>
    </x:row>
    <x:row r="52">
      <x:c r="A52" t="inlineStr">
        <x:is>
          <x:t xml:space="preserve">P03</x:t>
        </x:is>
      </x:c>
      <x:c r="B52" t="inlineStr">
        <x:is>
          <x:t xml:space="preserve">地域生态</x:t>
        </x:is>
      </x:c>
      <x:c r="C52" t="inlineStr">
        <x:is>
          <x:t xml:space="preserve">生活适配</x:t>
        </x:is>
      </x:c>
      <x:c r="D52" t="inlineStr">
        <x:is>
          <x:t xml:space="preserve">地域与气候</x:t>
        </x:is>
      </x:c>
      <x:c r="G52" t="inlineStr">
        <x:is>
          <x:t xml:space="preserve">未知</x:t>
        </x:is>
      </x:c>
      <x:c r="I52" t="inlineStr">
        <x:is>
          <x:t xml:space="preserve">待逐条核验；不自动填分</x:t>
        </x:is>
      </x:c>
      <x:c r="J52" t="n">
        <x:f>'三级指标树'!G16</x:f>
        <x:v>0.035</x:v>
      </x:c>
      <x:c r="K52" t="n">
        <x:f>IFERROR(IF(AND(ISNUMBER(E52),E52&gt;=参数!$B$3,E52&lt;=参数!$B$4,E52=INT(E52),TRIM(F52)&lt;&gt;""),1,0),0)</x:f>
        <x:v>0</x:v>
      </x:c>
      <x:c r="L52" t="n">
        <x:f>IFERROR(K52*N(E52),0)</x:f>
        <x:v>0</x:v>
      </x:c>
    </x:row>
    <x:row r="53">
      <x:c r="A53" t="inlineStr">
        <x:is>
          <x:t xml:space="preserve">P03</x:t>
        </x:is>
      </x:c>
      <x:c r="B53" t="inlineStr">
        <x:is>
          <x:t xml:space="preserve">成本安排</x:t>
        </x:is>
      </x:c>
      <x:c r="C53" t="inlineStr">
        <x:is>
          <x:t xml:space="preserve">经济成本</x:t>
        </x:is>
      </x:c>
      <x:c r="D53" t="inlineStr">
        <x:is>
          <x:t xml:space="preserve">学费及住宿</x:t>
        </x:is>
      </x:c>
      <x:c r="G53" t="inlineStr">
        <x:is>
          <x:t xml:space="preserve">未知</x:t>
        </x:is>
      </x:c>
      <x:c r="I53" t="inlineStr">
        <x:is>
          <x:t xml:space="preserve">待逐条核验；不自动填分</x:t>
        </x:is>
      </x:c>
      <x:c r="J53" t="n">
        <x:f>'三级指标树'!G17</x:f>
        <x:v>0.015125</x:v>
      </x:c>
      <x:c r="K53" t="n">
        <x:f>IFERROR(IF(AND(ISNUMBER(E53),E53&gt;=参数!$B$3,E53&lt;=参数!$B$4,E53=INT(E53),TRIM(F53)&lt;&gt;""),1,0),0)</x:f>
        <x:v>0</x:v>
      </x:c>
      <x:c r="L53" t="n">
        <x:f>IFERROR(K53*N(E53),0)</x:f>
        <x:v>0</x:v>
      </x:c>
    </x:row>
    <x:row r="54">
      <x:c r="A54" t="inlineStr">
        <x:is>
          <x:t xml:space="preserve">P03</x:t>
        </x:is>
      </x:c>
      <x:c r="B54" t="inlineStr">
        <x:is>
          <x:t xml:space="preserve">成本安排</x:t>
        </x:is>
      </x:c>
      <x:c r="C54" t="inlineStr">
        <x:is>
          <x:t xml:space="preserve">经济成本</x:t>
        </x:is>
      </x:c>
      <x:c r="D54" t="inlineStr">
        <x:is>
          <x:t xml:space="preserve">异地与额外支出</x:t>
        </x:is>
      </x:c>
      <x:c r="G54" t="inlineStr">
        <x:is>
          <x:t xml:space="preserve">未知</x:t>
        </x:is>
      </x:c>
      <x:c r="I54" t="inlineStr">
        <x:is>
          <x:t xml:space="preserve">待逐条核验；不自动填分</x:t>
        </x:is>
      </x:c>
      <x:c r="J54" t="n">
        <x:f>'三级指标树'!G18</x:f>
        <x:v>0.012375</x:v>
      </x:c>
      <x:c r="K54" t="n">
        <x:f>IFERROR(IF(AND(ISNUMBER(E54),E54&gt;=参数!$B$3,E54&lt;=参数!$B$4,E54=INT(E54),TRIM(F54)&lt;&gt;""),1,0),0)</x:f>
        <x:v>0</x:v>
      </x:c>
      <x:c r="L54" t="n">
        <x:f>IFERROR(K54*N(E54),0)</x:f>
        <x:v>0</x:v>
      </x:c>
    </x:row>
    <x:row r="55">
      <x:c r="A55" t="inlineStr">
        <x:is>
          <x:t xml:space="preserve">P03</x:t>
        </x:is>
      </x:c>
      <x:c r="B55" t="inlineStr">
        <x:is>
          <x:t xml:space="preserve">成本安排</x:t>
        </x:is>
      </x:c>
      <x:c r="C55" t="inlineStr">
        <x:is>
          <x:t xml:space="preserve">培养安排</x:t>
        </x:is>
      </x:c>
      <x:c r="D55" t="inlineStr">
        <x:is>
          <x:t xml:space="preserve">学制与企业实践</x:t>
        </x:is>
      </x:c>
      <x:c r="G55" t="inlineStr">
        <x:is>
          <x:t xml:space="preserve">未知</x:t>
        </x:is>
      </x:c>
      <x:c r="I55" t="inlineStr">
        <x:is>
          <x:t xml:space="preserve">待逐条核验；不自动填分</x:t>
        </x:is>
      </x:c>
      <x:c r="J55" t="n">
        <x:f>'三级指标树'!G19</x:f>
        <x:v>0.0225</x:v>
      </x:c>
      <x:c r="K55" t="n">
        <x:f>IFERROR(IF(AND(ISNUMBER(E55),E55&gt;=参数!$B$3,E55&lt;=参数!$B$4,E55=INT(E55),TRIM(F55)&lt;&gt;""),1,0),0)</x:f>
        <x:v>0</x:v>
      </x:c>
      <x:c r="L55" t="n">
        <x:f>IFERROR(K55*N(E55),0)</x:f>
        <x:v>0</x:v>
      </x:c>
    </x:row>
    <x:row r="56">
      <x:c r="A56" t="inlineStr">
        <x:is>
          <x:t xml:space="preserve">P04</x:t>
        </x:is>
      </x:c>
      <x:c r="B56" t="inlineStr">
        <x:is>
          <x:t xml:space="preserve">职业发展</x:t>
        </x:is>
      </x:c>
      <x:c r="C56" t="inlineStr">
        <x:is>
          <x:t xml:space="preserve">AI工程就业</x:t>
        </x:is>
      </x:c>
      <x:c r="D56" t="inlineStr">
        <x:is>
          <x:t xml:space="preserve">岗位与实习机会</x:t>
        </x:is>
      </x:c>
      <x:c r="G56" t="inlineStr">
        <x:is>
          <x:t xml:space="preserve">未知</x:t>
        </x:is>
      </x:c>
      <x:c r="I56" t="inlineStr">
        <x:is>
          <x:t xml:space="preserve">待逐条核验；不自动填分</x:t>
        </x:is>
      </x:c>
      <x:c r="J56" t="n">
        <x:f>'三级指标树'!G2</x:f>
        <x:v>0.105</x:v>
      </x:c>
      <x:c r="K56" t="n">
        <x:f>IFERROR(IF(AND(ISNUMBER(E56),E56&gt;=参数!$B$3,E56&lt;=参数!$B$4,E56=INT(E56),TRIM(F56)&lt;&gt;""),1,0),0)</x:f>
        <x:v>0</x:v>
      </x:c>
      <x:c r="L56" t="n">
        <x:f>IFERROR(K56*N(E56),0)</x:f>
        <x:v>0</x:v>
      </x:c>
    </x:row>
    <x:row r="57">
      <x:c r="A57" t="inlineStr">
        <x:is>
          <x:t xml:space="preserve">P04</x:t>
        </x:is>
      </x:c>
      <x:c r="B57" t="inlineStr">
        <x:is>
          <x:t xml:space="preserve">职业发展</x:t>
        </x:is>
      </x:c>
      <x:c r="C57" t="inlineStr">
        <x:is>
          <x:t xml:space="preserve">AI工程就业</x:t>
        </x:is>
      </x:c>
      <x:c r="D57" t="inlineStr">
        <x:is>
          <x:t xml:space="preserve">产业合作可参与性</x:t>
        </x:is>
      </x:c>
      <x:c r="G57" t="inlineStr">
        <x:is>
          <x:t xml:space="preserve">未知</x:t>
        </x:is>
      </x:c>
      <x:c r="I57" t="inlineStr">
        <x:is>
          <x:t xml:space="preserve">待逐条核验；不自动填分</x:t>
        </x:is>
      </x:c>
      <x:c r="J57" t="n">
        <x:f>'三级指标树'!G3</x:f>
        <x:v>0.07</x:v>
      </x:c>
      <x:c r="K57" t="n">
        <x:f>IFERROR(IF(AND(ISNUMBER(E57),E57&gt;=参数!$B$3,E57&lt;=参数!$B$4,E57=INT(E57),TRIM(F57)&lt;&gt;""),1,0),0)</x:f>
        <x:v>0</x:v>
      </x:c>
      <x:c r="L57" t="n">
        <x:f>IFERROR(K57*N(E57),0)</x:f>
        <x:v>0</x:v>
      </x:c>
    </x:row>
    <x:row r="58">
      <x:c r="A58" t="inlineStr">
        <x:is>
          <x:t xml:space="preserve">P04</x:t>
        </x:is>
      </x:c>
      <x:c r="B58" t="inlineStr">
        <x:is>
          <x:t xml:space="preserve">职业发展</x:t>
        </x:is>
      </x:c>
      <x:c r="C58" t="inlineStr">
        <x:is>
          <x:t xml:space="preserve">长期成长</x:t>
        </x:is>
      </x:c>
      <x:c r="D58" t="inlineStr">
        <x:is>
          <x:t xml:space="preserve">Agent/LLM能力积累</x:t>
        </x:is>
      </x:c>
      <x:c r="G58" t="inlineStr">
        <x:is>
          <x:t xml:space="preserve">未知</x:t>
        </x:is>
      </x:c>
      <x:c r="I58" t="inlineStr">
        <x:is>
          <x:t xml:space="preserve">待逐条核验；不自动填分</x:t>
        </x:is>
      </x:c>
      <x:c r="J58" t="n">
        <x:f>'三级指标树'!G4</x:f>
        <x:v>0.105</x:v>
      </x:c>
      <x:c r="K58" t="n">
        <x:f>IFERROR(IF(AND(ISNUMBER(E58),E58&gt;=参数!$B$3,E58&lt;=参数!$B$4,E58=INT(E58),TRIM(F58)&lt;&gt;""),1,0),0)</x:f>
        <x:v>0</x:v>
      </x:c>
      <x:c r="L58" t="n">
        <x:f>IFERROR(K58*N(E58),0)</x:f>
        <x:v>0</x:v>
      </x:c>
    </x:row>
    <x:row r="59">
      <x:c r="A59" t="inlineStr">
        <x:is>
          <x:t xml:space="preserve">P04</x:t>
        </x:is>
      </x:c>
      <x:c r="B59" t="inlineStr">
        <x:is>
          <x:t xml:space="preserve">职业发展</x:t>
        </x:is>
      </x:c>
      <x:c r="C59" t="inlineStr">
        <x:is>
          <x:t xml:space="preserve">长期成长</x:t>
        </x:is>
      </x:c>
      <x:c r="D59" t="inlineStr">
        <x:is>
          <x:t xml:space="preserve">具身/机器人发展空间</x:t>
        </x:is>
      </x:c>
      <x:c r="G59" t="inlineStr">
        <x:is>
          <x:t xml:space="preserve">未知</x:t>
        </x:is>
      </x:c>
      <x:c r="I59" t="inlineStr">
        <x:is>
          <x:t xml:space="preserve">待逐条核验；不自动填分</x:t>
        </x:is>
      </x:c>
      <x:c r="J59" t="n">
        <x:f>'三级指标树'!G5</x:f>
        <x:v>0.07</x:v>
      </x:c>
      <x:c r="K59" t="n">
        <x:f>IFERROR(IF(AND(ISNUMBER(E59),E59&gt;=参数!$B$3,E59&lt;=参数!$B$4,E59=INT(E59),TRIM(F59)&lt;&gt;""),1,0),0)</x:f>
        <x:v>0</x:v>
      </x:c>
      <x:c r="L59" t="n">
        <x:f>IFERROR(K59*N(E59),0)</x:f>
        <x:v>0</x:v>
      </x:c>
    </x:row>
    <x:row r="60">
      <x:c r="A60" t="inlineStr">
        <x:is>
          <x:t xml:space="preserve">P04</x:t>
        </x:is>
      </x:c>
      <x:c r="B60" t="inlineStr">
        <x:is>
          <x:t xml:space="preserve">报考可行性</x:t>
        </x:is>
      </x:c>
      <x:c r="C60" t="inlineStr">
        <x:is>
          <x:t xml:space="preserve">招生路径</x:t>
        </x:is>
      </x:c>
      <x:c r="D60" t="inlineStr">
        <x:is>
          <x:t xml:space="preserve">全日制统考路径明确性</x:t>
        </x:is>
      </x:c>
      <x:c r="G60" t="inlineStr">
        <x:is>
          <x:t xml:space="preserve">未知</x:t>
        </x:is>
      </x:c>
      <x:c r="I60" t="inlineStr">
        <x:is>
          <x:t xml:space="preserve">待逐条核验；不自动填分</x:t>
        </x:is>
      </x:c>
      <x:c r="J60" t="n">
        <x:f>'三级指标树'!G6</x:f>
        <x:v>0.099</x:v>
      </x:c>
      <x:c r="K60" t="n">
        <x:f>IFERROR(IF(AND(ISNUMBER(E60),E60&gt;=参数!$B$3,E60&lt;=参数!$B$4,E60=INT(E60),TRIM(F60)&lt;&gt;""),1,0),0)</x:f>
        <x:v>0</x:v>
      </x:c>
      <x:c r="L60" t="n">
        <x:f>IFERROR(K60*N(E60),0)</x:f>
        <x:v>0</x:v>
      </x:c>
    </x:row>
    <x:row r="61">
      <x:c r="A61" t="inlineStr">
        <x:is>
          <x:t xml:space="preserve">P04</x:t>
        </x:is>
      </x:c>
      <x:c r="B61" t="inlineStr">
        <x:is>
          <x:t xml:space="preserve">报考可行性</x:t>
        </x:is>
      </x:c>
      <x:c r="C61" t="inlineStr">
        <x:is>
          <x:t xml:space="preserve">招生路径</x:t>
        </x:is>
      </x:c>
      <x:c r="D61" t="inlineStr">
        <x:is>
          <x:t xml:space="preserve">名额口径可靠性</x:t>
        </x:is>
      </x:c>
      <x:c r="G61" t="inlineStr">
        <x:is>
          <x:t xml:space="preserve">未知</x:t>
        </x:is>
      </x:c>
      <x:c r="I61" t="inlineStr">
        <x:is>
          <x:t xml:space="preserve">待逐条核验；不自动填分</x:t>
        </x:is>
      </x:c>
      <x:c r="J61" t="n">
        <x:f>'三级指标树'!G7</x:f>
        <x:v>0.066</x:v>
      </x:c>
      <x:c r="K61" t="n">
        <x:f>IFERROR(IF(AND(ISNUMBER(E61),E61&gt;=参数!$B$3,E61&lt;=参数!$B$4,E61=INT(E61),TRIM(F61)&lt;&gt;""),1,0),0)</x:f>
        <x:v>0</x:v>
      </x:c>
      <x:c r="L61" t="n">
        <x:f>IFERROR(K61*N(E61),0)</x:f>
        <x:v>0</x:v>
      </x:c>
    </x:row>
    <x:row r="62">
      <x:c r="A62" t="inlineStr">
        <x:is>
          <x:t xml:space="preserve">P04</x:t>
        </x:is>
      </x:c>
      <x:c r="B62" t="inlineStr">
        <x:is>
          <x:t xml:space="preserve">报考可行性</x:t>
        </x:is>
      </x:c>
      <x:c r="C62" t="inlineStr">
        <x:is>
          <x:t xml:space="preserve">考试风险</x:t>
        </x:is>
      </x:c>
      <x:c r="D62" t="inlineStr">
        <x:is>
          <x:t xml:space="preserve">初复试科目稳定性</x:t>
        </x:is>
      </x:c>
      <x:c r="G62" t="inlineStr">
        <x:is>
          <x:t xml:space="preserve">未知</x:t>
        </x:is>
      </x:c>
      <x:c r="I62" t="inlineStr">
        <x:is>
          <x:t xml:space="preserve">待逐条核验；不自动填分</x:t>
        </x:is>
      </x:c>
      <x:c r="J62" t="n">
        <x:f>'三级指标树'!G8</x:f>
        <x:v>0.07425</x:v>
      </x:c>
      <x:c r="K62" t="n">
        <x:f>IFERROR(IF(AND(ISNUMBER(E62),E62&gt;=参数!$B$3,E62&lt;=参数!$B$4,E62=INT(E62),TRIM(F62)&lt;&gt;""),1,0),0)</x:f>
        <x:v>0</x:v>
      </x:c>
      <x:c r="L62" t="n">
        <x:f>IFERROR(K62*N(E62),0)</x:f>
        <x:v>0</x:v>
      </x:c>
    </x:row>
    <x:row r="63">
      <x:c r="A63" t="inlineStr">
        <x:is>
          <x:t xml:space="preserve">P04</x:t>
        </x:is>
      </x:c>
      <x:c r="B63" t="inlineStr">
        <x:is>
          <x:t xml:space="preserve">报考可行性</x:t>
        </x:is>
      </x:c>
      <x:c r="C63" t="inlineStr">
        <x:is>
          <x:t xml:space="preserve">考试风险</x:t>
        </x:is>
      </x:c>
      <x:c r="D63" t="inlineStr">
        <x:is>
          <x:t xml:space="preserve">复试规则可预期性</x:t>
        </x:is>
      </x:c>
      <x:c r="G63" t="inlineStr">
        <x:is>
          <x:t xml:space="preserve">未知</x:t>
        </x:is>
      </x:c>
      <x:c r="I63" t="inlineStr">
        <x:is>
          <x:t xml:space="preserve">待逐条核验；不自动填分</x:t>
        </x:is>
      </x:c>
      <x:c r="J63" t="n">
        <x:f>'三级指标树'!G9</x:f>
        <x:v>0.06075</x:v>
      </x:c>
      <x:c r="K63" t="n">
        <x:f>IFERROR(IF(AND(ISNUMBER(E63),E63&gt;=参数!$B$3,E63&lt;=参数!$B$4,E63=INT(E63),TRIM(F63)&lt;&gt;""),1,0),0)</x:f>
        <x:v>0</x:v>
      </x:c>
      <x:c r="L63" t="n">
        <x:f>IFERROR(K63*N(E63),0)</x:f>
        <x:v>0</x:v>
      </x:c>
    </x:row>
    <x:row r="64">
      <x:c r="A64" t="inlineStr">
        <x:is>
          <x:t xml:space="preserve">P04</x:t>
        </x:is>
      </x:c>
      <x:c r="B64" t="inlineStr">
        <x:is>
          <x:t xml:space="preserve">研究培养</x:t>
        </x:is>
      </x:c>
      <x:c r="C64" t="inlineStr">
        <x:is>
          <x:t xml:space="preserve">科研匹配</x:t>
        </x:is>
      </x:c>
      <x:c r="D64" t="inlineStr">
        <x:is>
          <x:t xml:space="preserve">研究方向相关性</x:t>
        </x:is>
      </x:c>
      <x:c r="G64" t="inlineStr">
        <x:is>
          <x:t xml:space="preserve">未知</x:t>
        </x:is>
      </x:c>
      <x:c r="I64" t="inlineStr">
        <x:is>
          <x:t xml:space="preserve">待逐条核验；不自动填分</x:t>
        </x:is>
      </x:c>
      <x:c r="J64" t="n">
        <x:f>'三级指标树'!G10</x:f>
        <x:v>0.0605</x:v>
      </x:c>
      <x:c r="K64" t="n">
        <x:f>IFERROR(IF(AND(ISNUMBER(E64),E64&gt;=参数!$B$3,E64&lt;=参数!$B$4,E64=INT(E64),TRIM(F64)&lt;&gt;""),1,0),0)</x:f>
        <x:v>0</x:v>
      </x:c>
      <x:c r="L64" t="n">
        <x:f>IFERROR(K64*N(E64),0)</x:f>
        <x:v>0</x:v>
      </x:c>
    </x:row>
    <x:row r="65">
      <x:c r="A65" t="inlineStr">
        <x:is>
          <x:t xml:space="preserve">P04</x:t>
        </x:is>
      </x:c>
      <x:c r="B65" t="inlineStr">
        <x:is>
          <x:t xml:space="preserve">研究培养</x:t>
        </x:is>
      </x:c>
      <x:c r="C65" t="inlineStr">
        <x:is>
          <x:t xml:space="preserve">科研匹配</x:t>
        </x:is>
      </x:c>
      <x:c r="D65" t="inlineStr">
        <x:is>
          <x:t xml:space="preserve">导师招生路径证据</x:t>
        </x:is>
      </x:c>
      <x:c r="G65" t="inlineStr">
        <x:is>
          <x:t xml:space="preserve">未知</x:t>
        </x:is>
      </x:c>
      <x:c r="I65" t="inlineStr">
        <x:is>
          <x:t xml:space="preserve">待逐条核验；不自动填分</x:t>
        </x:is>
      </x:c>
      <x:c r="J65" t="n">
        <x:f>'三级指标树'!G11</x:f>
        <x:v>0.0495</x:v>
      </x:c>
      <x:c r="K65" t="n">
        <x:f>IFERROR(IF(AND(ISNUMBER(E65),E65&gt;=参数!$B$3,E65&lt;=参数!$B$4,E65=INT(E65),TRIM(F65)&lt;&gt;""),1,0),0)</x:f>
        <x:v>0</x:v>
      </x:c>
      <x:c r="L65" t="n">
        <x:f>IFERROR(K65*N(E65),0)</x:f>
        <x:v>0</x:v>
      </x:c>
    </x:row>
    <x:row r="66">
      <x:c r="A66" t="inlineStr">
        <x:is>
          <x:t xml:space="preserve">P04</x:t>
        </x:is>
      </x:c>
      <x:c r="B66" t="inlineStr">
        <x:is>
          <x:t xml:space="preserve">研究培养</x:t>
        </x:is>
      </x:c>
      <x:c r="C66" t="inlineStr">
        <x:is>
          <x:t xml:space="preserve">培养可进入</x:t>
        </x:is>
      </x:c>
      <x:c r="D66" t="inlineStr">
        <x:is>
          <x:t xml:space="preserve">实践机制适用性</x:t>
        </x:is>
      </x:c>
      <x:c r="G66" t="inlineStr">
        <x:is>
          <x:t xml:space="preserve">未知</x:t>
        </x:is>
      </x:c>
      <x:c r="I66" t="inlineStr">
        <x:is>
          <x:t xml:space="preserve">待逐条核验；不自动填分</x:t>
        </x:is>
      </x:c>
      <x:c r="J66" t="n">
        <x:f>'三级指标树'!G12</x:f>
        <x:v>0.045</x:v>
      </x:c>
      <x:c r="K66" t="n">
        <x:f>IFERROR(IF(AND(ISNUMBER(E66),E66&gt;=参数!$B$3,E66&lt;=参数!$B$4,E66=INT(E66),TRIM(F66)&lt;&gt;""),1,0),0)</x:f>
        <x:v>0</x:v>
      </x:c>
      <x:c r="L66" t="n">
        <x:f>IFERROR(K66*N(E66),0)</x:f>
        <x:v>0</x:v>
      </x:c>
    </x:row>
    <x:row r="67">
      <x:c r="A67" t="inlineStr">
        <x:is>
          <x:t xml:space="preserve">P04</x:t>
        </x:is>
      </x:c>
      <x:c r="B67" t="inlineStr">
        <x:is>
          <x:t xml:space="preserve">研究培养</x:t>
        </x:is>
      </x:c>
      <x:c r="C67" t="inlineStr">
        <x:is>
          <x:t xml:space="preserve">培养可进入</x:t>
        </x:is>
      </x:c>
      <x:c r="D67" t="inlineStr">
        <x:is>
          <x:t xml:space="preserve">平台资源可进入性</x:t>
        </x:is>
      </x:c>
      <x:c r="G67" t="inlineStr">
        <x:is>
          <x:t xml:space="preserve">未知</x:t>
        </x:is>
      </x:c>
      <x:c r="I67" t="inlineStr">
        <x:is>
          <x:t xml:space="preserve">待逐条核验；不自动填分</x:t>
        </x:is>
      </x:c>
      <x:c r="J67" t="n">
        <x:f>'三级指标树'!G13</x:f>
        <x:v>0.045</x:v>
      </x:c>
      <x:c r="K67" t="n">
        <x:f>IFERROR(IF(AND(ISNUMBER(E67),E67&gt;=参数!$B$3,E67&lt;=参数!$B$4,E67=INT(E67),TRIM(F67)&lt;&gt;""),1,0),0)</x:f>
        <x:v>0</x:v>
      </x:c>
      <x:c r="L67" t="n">
        <x:f>IFERROR(K67*N(E67),0)</x:f>
        <x:v>0</x:v>
      </x:c>
    </x:row>
    <x:row r="68">
      <x:c r="A68" t="inlineStr">
        <x:is>
          <x:t xml:space="preserve">P04</x:t>
        </x:is>
      </x:c>
      <x:c r="B68" t="inlineStr">
        <x:is>
          <x:t xml:space="preserve">地域生态</x:t>
        </x:is>
      </x:c>
      <x:c r="C68" t="inlineStr">
        <x:is>
          <x:t xml:space="preserve">产业机会</x:t>
        </x:is>
      </x:c>
      <x:c r="D68" t="inlineStr">
        <x:is>
          <x:t xml:space="preserve">城市AI岗位生态</x:t>
        </x:is>
      </x:c>
      <x:c r="G68" t="inlineStr">
        <x:is>
          <x:t xml:space="preserve">未知</x:t>
        </x:is>
      </x:c>
      <x:c r="I68" t="inlineStr">
        <x:is>
          <x:t xml:space="preserve">待逐条核验；不自动填分</x:t>
        </x:is>
      </x:c>
      <x:c r="J68" t="n">
        <x:f>'三级指标树'!G14</x:f>
        <x:v>0.04225</x:v>
      </x:c>
      <x:c r="K68" t="n">
        <x:f>IFERROR(IF(AND(ISNUMBER(E68),E68&gt;=参数!$B$3,E68&lt;=参数!$B$4,E68=INT(E68),TRIM(F68)&lt;&gt;""),1,0),0)</x:f>
        <x:v>0</x:v>
      </x:c>
      <x:c r="L68" t="n">
        <x:f>IFERROR(K68*N(E68),0)</x:f>
        <x:v>0</x:v>
      </x:c>
    </x:row>
    <x:row r="69">
      <x:c r="A69" t="inlineStr">
        <x:is>
          <x:t xml:space="preserve">P04</x:t>
        </x:is>
      </x:c>
      <x:c r="B69" t="inlineStr">
        <x:is>
          <x:t xml:space="preserve">地域生态</x:t>
        </x:is>
      </x:c>
      <x:c r="C69" t="inlineStr">
        <x:is>
          <x:t xml:space="preserve">产业机会</x:t>
        </x:is>
      </x:c>
      <x:c r="D69" t="inlineStr">
        <x:is>
          <x:t xml:space="preserve">实习合作半径</x:t>
        </x:is>
      </x:c>
      <x:c r="G69" t="inlineStr">
        <x:is>
          <x:t xml:space="preserve">未知</x:t>
        </x:is>
      </x:c>
      <x:c r="I69" t="inlineStr">
        <x:is>
          <x:t xml:space="preserve">待逐条核验；不自动填分</x:t>
        </x:is>
      </x:c>
      <x:c r="J69" t="n">
        <x:f>'三级指标树'!G15</x:f>
        <x:v>0.02275</x:v>
      </x:c>
      <x:c r="K69" t="n">
        <x:f>IFERROR(IF(AND(ISNUMBER(E69),E69&gt;=参数!$B$3,E69&lt;=参数!$B$4,E69=INT(E69),TRIM(F69)&lt;&gt;""),1,0),0)</x:f>
        <x:v>0</x:v>
      </x:c>
      <x:c r="L69" t="n">
        <x:f>IFERROR(K69*N(E69),0)</x:f>
        <x:v>0</x:v>
      </x:c>
    </x:row>
    <x:row r="70">
      <x:c r="A70" t="inlineStr">
        <x:is>
          <x:t xml:space="preserve">P04</x:t>
        </x:is>
      </x:c>
      <x:c r="B70" t="inlineStr">
        <x:is>
          <x:t xml:space="preserve">地域生态</x:t>
        </x:is>
      </x:c>
      <x:c r="C70" t="inlineStr">
        <x:is>
          <x:t xml:space="preserve">生活适配</x:t>
        </x:is>
      </x:c>
      <x:c r="D70" t="inlineStr">
        <x:is>
          <x:t xml:space="preserve">地域与气候</x:t>
        </x:is>
      </x:c>
      <x:c r="G70" t="inlineStr">
        <x:is>
          <x:t xml:space="preserve">未知</x:t>
        </x:is>
      </x:c>
      <x:c r="I70" t="inlineStr">
        <x:is>
          <x:t xml:space="preserve">待逐条核验；不自动填分</x:t>
        </x:is>
      </x:c>
      <x:c r="J70" t="n">
        <x:f>'三级指标树'!G16</x:f>
        <x:v>0.035</x:v>
      </x:c>
      <x:c r="K70" t="n">
        <x:f>IFERROR(IF(AND(ISNUMBER(E70),E70&gt;=参数!$B$3,E70&lt;=参数!$B$4,E70=INT(E70),TRIM(F70)&lt;&gt;""),1,0),0)</x:f>
        <x:v>0</x:v>
      </x:c>
      <x:c r="L70" t="n">
        <x:f>IFERROR(K70*N(E70),0)</x:f>
        <x:v>0</x:v>
      </x:c>
    </x:row>
    <x:row r="71">
      <x:c r="A71" t="inlineStr">
        <x:is>
          <x:t xml:space="preserve">P04</x:t>
        </x:is>
      </x:c>
      <x:c r="B71" t="inlineStr">
        <x:is>
          <x:t xml:space="preserve">成本安排</x:t>
        </x:is>
      </x:c>
      <x:c r="C71" t="inlineStr">
        <x:is>
          <x:t xml:space="preserve">经济成本</x:t>
        </x:is>
      </x:c>
      <x:c r="D71" t="inlineStr">
        <x:is>
          <x:t xml:space="preserve">学费及住宿</x:t>
        </x:is>
      </x:c>
      <x:c r="G71" t="inlineStr">
        <x:is>
          <x:t xml:space="preserve">未知</x:t>
        </x:is>
      </x:c>
      <x:c r="I71" t="inlineStr">
        <x:is>
          <x:t xml:space="preserve">待逐条核验；不自动填分</x:t>
        </x:is>
      </x:c>
      <x:c r="J71" t="n">
        <x:f>'三级指标树'!G17</x:f>
        <x:v>0.015125</x:v>
      </x:c>
      <x:c r="K71" t="n">
        <x:f>IFERROR(IF(AND(ISNUMBER(E71),E71&gt;=参数!$B$3,E71&lt;=参数!$B$4,E71=INT(E71),TRIM(F71)&lt;&gt;""),1,0),0)</x:f>
        <x:v>0</x:v>
      </x:c>
      <x:c r="L71" t="n">
        <x:f>IFERROR(K71*N(E71),0)</x:f>
        <x:v>0</x:v>
      </x:c>
    </x:row>
    <x:row r="72">
      <x:c r="A72" t="inlineStr">
        <x:is>
          <x:t xml:space="preserve">P04</x:t>
        </x:is>
      </x:c>
      <x:c r="B72" t="inlineStr">
        <x:is>
          <x:t xml:space="preserve">成本安排</x:t>
        </x:is>
      </x:c>
      <x:c r="C72" t="inlineStr">
        <x:is>
          <x:t xml:space="preserve">经济成本</x:t>
        </x:is>
      </x:c>
      <x:c r="D72" t="inlineStr">
        <x:is>
          <x:t xml:space="preserve">异地与额外支出</x:t>
        </x:is>
      </x:c>
      <x:c r="G72" t="inlineStr">
        <x:is>
          <x:t xml:space="preserve">未知</x:t>
        </x:is>
      </x:c>
      <x:c r="I72" t="inlineStr">
        <x:is>
          <x:t xml:space="preserve">待逐条核验；不自动填分</x:t>
        </x:is>
      </x:c>
      <x:c r="J72" t="n">
        <x:f>'三级指标树'!G18</x:f>
        <x:v>0.012375</x:v>
      </x:c>
      <x:c r="K72" t="n">
        <x:f>IFERROR(IF(AND(ISNUMBER(E72),E72&gt;=参数!$B$3,E72&lt;=参数!$B$4,E72=INT(E72),TRIM(F72)&lt;&gt;""),1,0),0)</x:f>
        <x:v>0</x:v>
      </x:c>
      <x:c r="L72" t="n">
        <x:f>IFERROR(K72*N(E72),0)</x:f>
        <x:v>0</x:v>
      </x:c>
    </x:row>
    <x:row r="73">
      <x:c r="A73" t="inlineStr">
        <x:is>
          <x:t xml:space="preserve">P04</x:t>
        </x:is>
      </x:c>
      <x:c r="B73" t="inlineStr">
        <x:is>
          <x:t xml:space="preserve">成本安排</x:t>
        </x:is>
      </x:c>
      <x:c r="C73" t="inlineStr">
        <x:is>
          <x:t xml:space="preserve">培养安排</x:t>
        </x:is>
      </x:c>
      <x:c r="D73" t="inlineStr">
        <x:is>
          <x:t xml:space="preserve">学制与企业实践</x:t>
        </x:is>
      </x:c>
      <x:c r="G73" t="inlineStr">
        <x:is>
          <x:t xml:space="preserve">未知</x:t>
        </x:is>
      </x:c>
      <x:c r="I73" t="inlineStr">
        <x:is>
          <x:t xml:space="preserve">待逐条核验；不自动填分</x:t>
        </x:is>
      </x:c>
      <x:c r="J73" t="n">
        <x:f>'三级指标树'!G19</x:f>
        <x:v>0.0225</x:v>
      </x:c>
      <x:c r="K73" t="n">
        <x:f>IFERROR(IF(AND(ISNUMBER(E73),E73&gt;=参数!$B$3,E73&lt;=参数!$B$4,E73=INT(E73),TRIM(F73)&lt;&gt;""),1,0),0)</x:f>
        <x:v>0</x:v>
      </x:c>
      <x:c r="L73" t="n">
        <x:f>IFERROR(K73*N(E73),0)</x:f>
        <x:v>0</x:v>
      </x:c>
    </x:row>
    <x:row r="74">
      <x:c r="A74" t="inlineStr">
        <x:is>
          <x:t xml:space="preserve">P05</x:t>
        </x:is>
      </x:c>
      <x:c r="B74" t="inlineStr">
        <x:is>
          <x:t xml:space="preserve">职业发展</x:t>
        </x:is>
      </x:c>
      <x:c r="C74" t="inlineStr">
        <x:is>
          <x:t xml:space="preserve">AI工程就业</x:t>
        </x:is>
      </x:c>
      <x:c r="D74" t="inlineStr">
        <x:is>
          <x:t xml:space="preserve">岗位与实习机会</x:t>
        </x:is>
      </x:c>
      <x:c r="G74" t="inlineStr">
        <x:is>
          <x:t xml:space="preserve">未知</x:t>
        </x:is>
      </x:c>
      <x:c r="I74" t="inlineStr">
        <x:is>
          <x:t xml:space="preserve">待逐条核验；不自动填分</x:t>
        </x:is>
      </x:c>
      <x:c r="J74" t="n">
        <x:f>'三级指标树'!G2</x:f>
        <x:v>0.105</x:v>
      </x:c>
      <x:c r="K74" t="n">
        <x:f>IFERROR(IF(AND(ISNUMBER(E74),E74&gt;=参数!$B$3,E74&lt;=参数!$B$4,E74=INT(E74),TRIM(F74)&lt;&gt;""),1,0),0)</x:f>
        <x:v>0</x:v>
      </x:c>
      <x:c r="L74" t="n">
        <x:f>IFERROR(K74*N(E74),0)</x:f>
        <x:v>0</x:v>
      </x:c>
    </x:row>
    <x:row r="75">
      <x:c r="A75" t="inlineStr">
        <x:is>
          <x:t xml:space="preserve">P05</x:t>
        </x:is>
      </x:c>
      <x:c r="B75" t="inlineStr">
        <x:is>
          <x:t xml:space="preserve">职业发展</x:t>
        </x:is>
      </x:c>
      <x:c r="C75" t="inlineStr">
        <x:is>
          <x:t xml:space="preserve">AI工程就业</x:t>
        </x:is>
      </x:c>
      <x:c r="D75" t="inlineStr">
        <x:is>
          <x:t xml:space="preserve">产业合作可参与性</x:t>
        </x:is>
      </x:c>
      <x:c r="G75" t="inlineStr">
        <x:is>
          <x:t xml:space="preserve">未知</x:t>
        </x:is>
      </x:c>
      <x:c r="I75" t="inlineStr">
        <x:is>
          <x:t xml:space="preserve">待逐条核验；不自动填分</x:t>
        </x:is>
      </x:c>
      <x:c r="J75" t="n">
        <x:f>'三级指标树'!G3</x:f>
        <x:v>0.07</x:v>
      </x:c>
      <x:c r="K75" t="n">
        <x:f>IFERROR(IF(AND(ISNUMBER(E75),E75&gt;=参数!$B$3,E75&lt;=参数!$B$4,E75=INT(E75),TRIM(F75)&lt;&gt;""),1,0),0)</x:f>
        <x:v>0</x:v>
      </x:c>
      <x:c r="L75" t="n">
        <x:f>IFERROR(K75*N(E75),0)</x:f>
        <x:v>0</x:v>
      </x:c>
    </x:row>
    <x:row r="76">
      <x:c r="A76" t="inlineStr">
        <x:is>
          <x:t xml:space="preserve">P05</x:t>
        </x:is>
      </x:c>
      <x:c r="B76" t="inlineStr">
        <x:is>
          <x:t xml:space="preserve">职业发展</x:t>
        </x:is>
      </x:c>
      <x:c r="C76" t="inlineStr">
        <x:is>
          <x:t xml:space="preserve">长期成长</x:t>
        </x:is>
      </x:c>
      <x:c r="D76" t="inlineStr">
        <x:is>
          <x:t xml:space="preserve">Agent/LLM能力积累</x:t>
        </x:is>
      </x:c>
      <x:c r="G76" t="inlineStr">
        <x:is>
          <x:t xml:space="preserve">未知</x:t>
        </x:is>
      </x:c>
      <x:c r="I76" t="inlineStr">
        <x:is>
          <x:t xml:space="preserve">待逐条核验；不自动填分</x:t>
        </x:is>
      </x:c>
      <x:c r="J76" t="n">
        <x:f>'三级指标树'!G4</x:f>
        <x:v>0.105</x:v>
      </x:c>
      <x:c r="K76" t="n">
        <x:f>IFERROR(IF(AND(ISNUMBER(E76),E76&gt;=参数!$B$3,E76&lt;=参数!$B$4,E76=INT(E76),TRIM(F76)&lt;&gt;""),1,0),0)</x:f>
        <x:v>0</x:v>
      </x:c>
      <x:c r="L76" t="n">
        <x:f>IFERROR(K76*N(E76),0)</x:f>
        <x:v>0</x:v>
      </x:c>
    </x:row>
    <x:row r="77">
      <x:c r="A77" t="inlineStr">
        <x:is>
          <x:t xml:space="preserve">P05</x:t>
        </x:is>
      </x:c>
      <x:c r="B77" t="inlineStr">
        <x:is>
          <x:t xml:space="preserve">职业发展</x:t>
        </x:is>
      </x:c>
      <x:c r="C77" t="inlineStr">
        <x:is>
          <x:t xml:space="preserve">长期成长</x:t>
        </x:is>
      </x:c>
      <x:c r="D77" t="inlineStr">
        <x:is>
          <x:t xml:space="preserve">具身/机器人发展空间</x:t>
        </x:is>
      </x:c>
      <x:c r="G77" t="inlineStr">
        <x:is>
          <x:t xml:space="preserve">未知</x:t>
        </x:is>
      </x:c>
      <x:c r="I77" t="inlineStr">
        <x:is>
          <x:t xml:space="preserve">待逐条核验；不自动填分</x:t>
        </x:is>
      </x:c>
      <x:c r="J77" t="n">
        <x:f>'三级指标树'!G5</x:f>
        <x:v>0.07</x:v>
      </x:c>
      <x:c r="K77" t="n">
        <x:f>IFERROR(IF(AND(ISNUMBER(E77),E77&gt;=参数!$B$3,E77&lt;=参数!$B$4,E77=INT(E77),TRIM(F77)&lt;&gt;""),1,0),0)</x:f>
        <x:v>0</x:v>
      </x:c>
      <x:c r="L77" t="n">
        <x:f>IFERROR(K77*N(E77),0)</x:f>
        <x:v>0</x:v>
      </x:c>
    </x:row>
    <x:row r="78">
      <x:c r="A78" t="inlineStr">
        <x:is>
          <x:t xml:space="preserve">P05</x:t>
        </x:is>
      </x:c>
      <x:c r="B78" t="inlineStr">
        <x:is>
          <x:t xml:space="preserve">报考可行性</x:t>
        </x:is>
      </x:c>
      <x:c r="C78" t="inlineStr">
        <x:is>
          <x:t xml:space="preserve">招生路径</x:t>
        </x:is>
      </x:c>
      <x:c r="D78" t="inlineStr">
        <x:is>
          <x:t xml:space="preserve">全日制统考路径明确性</x:t>
        </x:is>
      </x:c>
      <x:c r="G78" t="inlineStr">
        <x:is>
          <x:t xml:space="preserve">未知</x:t>
        </x:is>
      </x:c>
      <x:c r="I78" t="inlineStr">
        <x:is>
          <x:t xml:space="preserve">待逐条核验；不自动填分</x:t>
        </x:is>
      </x:c>
      <x:c r="J78" t="n">
        <x:f>'三级指标树'!G6</x:f>
        <x:v>0.099</x:v>
      </x:c>
      <x:c r="K78" t="n">
        <x:f>IFERROR(IF(AND(ISNUMBER(E78),E78&gt;=参数!$B$3,E78&lt;=参数!$B$4,E78=INT(E78),TRIM(F78)&lt;&gt;""),1,0),0)</x:f>
        <x:v>0</x:v>
      </x:c>
      <x:c r="L78" t="n">
        <x:f>IFERROR(K78*N(E78),0)</x:f>
        <x:v>0</x:v>
      </x:c>
    </x:row>
    <x:row r="79">
      <x:c r="A79" t="inlineStr">
        <x:is>
          <x:t xml:space="preserve">P05</x:t>
        </x:is>
      </x:c>
      <x:c r="B79" t="inlineStr">
        <x:is>
          <x:t xml:space="preserve">报考可行性</x:t>
        </x:is>
      </x:c>
      <x:c r="C79" t="inlineStr">
        <x:is>
          <x:t xml:space="preserve">招生路径</x:t>
        </x:is>
      </x:c>
      <x:c r="D79" t="inlineStr">
        <x:is>
          <x:t xml:space="preserve">名额口径可靠性</x:t>
        </x:is>
      </x:c>
      <x:c r="G79" t="inlineStr">
        <x:is>
          <x:t xml:space="preserve">未知</x:t>
        </x:is>
      </x:c>
      <x:c r="I79" t="inlineStr">
        <x:is>
          <x:t xml:space="preserve">待逐条核验；不自动填分</x:t>
        </x:is>
      </x:c>
      <x:c r="J79" t="n">
        <x:f>'三级指标树'!G7</x:f>
        <x:v>0.066</x:v>
      </x:c>
      <x:c r="K79" t="n">
        <x:f>IFERROR(IF(AND(ISNUMBER(E79),E79&gt;=参数!$B$3,E79&lt;=参数!$B$4,E79=INT(E79),TRIM(F79)&lt;&gt;""),1,0),0)</x:f>
        <x:v>0</x:v>
      </x:c>
      <x:c r="L79" t="n">
        <x:f>IFERROR(K79*N(E79),0)</x:f>
        <x:v>0</x:v>
      </x:c>
    </x:row>
    <x:row r="80">
      <x:c r="A80" t="inlineStr">
        <x:is>
          <x:t xml:space="preserve">P05</x:t>
        </x:is>
      </x:c>
      <x:c r="B80" t="inlineStr">
        <x:is>
          <x:t xml:space="preserve">报考可行性</x:t>
        </x:is>
      </x:c>
      <x:c r="C80" t="inlineStr">
        <x:is>
          <x:t xml:space="preserve">考试风险</x:t>
        </x:is>
      </x:c>
      <x:c r="D80" t="inlineStr">
        <x:is>
          <x:t xml:space="preserve">初复试科目稳定性</x:t>
        </x:is>
      </x:c>
      <x:c r="G80" t="inlineStr">
        <x:is>
          <x:t xml:space="preserve">未知</x:t>
        </x:is>
      </x:c>
      <x:c r="I80" t="inlineStr">
        <x:is>
          <x:t xml:space="preserve">待逐条核验；不自动填分</x:t>
        </x:is>
      </x:c>
      <x:c r="J80" t="n">
        <x:f>'三级指标树'!G8</x:f>
        <x:v>0.07425</x:v>
      </x:c>
      <x:c r="K80" t="n">
        <x:f>IFERROR(IF(AND(ISNUMBER(E80),E80&gt;=参数!$B$3,E80&lt;=参数!$B$4,E80=INT(E80),TRIM(F80)&lt;&gt;""),1,0),0)</x:f>
        <x:v>0</x:v>
      </x:c>
      <x:c r="L80" t="n">
        <x:f>IFERROR(K80*N(E80),0)</x:f>
        <x:v>0</x:v>
      </x:c>
    </x:row>
    <x:row r="81">
      <x:c r="A81" t="inlineStr">
        <x:is>
          <x:t xml:space="preserve">P05</x:t>
        </x:is>
      </x:c>
      <x:c r="B81" t="inlineStr">
        <x:is>
          <x:t xml:space="preserve">报考可行性</x:t>
        </x:is>
      </x:c>
      <x:c r="C81" t="inlineStr">
        <x:is>
          <x:t xml:space="preserve">考试风险</x:t>
        </x:is>
      </x:c>
      <x:c r="D81" t="inlineStr">
        <x:is>
          <x:t xml:space="preserve">复试规则可预期性</x:t>
        </x:is>
      </x:c>
      <x:c r="G81" t="inlineStr">
        <x:is>
          <x:t xml:space="preserve">未知</x:t>
        </x:is>
      </x:c>
      <x:c r="I81" t="inlineStr">
        <x:is>
          <x:t xml:space="preserve">待逐条核验；不自动填分</x:t>
        </x:is>
      </x:c>
      <x:c r="J81" t="n">
        <x:f>'三级指标树'!G9</x:f>
        <x:v>0.06075</x:v>
      </x:c>
      <x:c r="K81" t="n">
        <x:f>IFERROR(IF(AND(ISNUMBER(E81),E81&gt;=参数!$B$3,E81&lt;=参数!$B$4,E81=INT(E81),TRIM(F81)&lt;&gt;""),1,0),0)</x:f>
        <x:v>0</x:v>
      </x:c>
      <x:c r="L81" t="n">
        <x:f>IFERROR(K81*N(E81),0)</x:f>
        <x:v>0</x:v>
      </x:c>
    </x:row>
    <x:row r="82">
      <x:c r="A82" t="inlineStr">
        <x:is>
          <x:t xml:space="preserve">P05</x:t>
        </x:is>
      </x:c>
      <x:c r="B82" t="inlineStr">
        <x:is>
          <x:t xml:space="preserve">研究培养</x:t>
        </x:is>
      </x:c>
      <x:c r="C82" t="inlineStr">
        <x:is>
          <x:t xml:space="preserve">科研匹配</x:t>
        </x:is>
      </x:c>
      <x:c r="D82" t="inlineStr">
        <x:is>
          <x:t xml:space="preserve">研究方向相关性</x:t>
        </x:is>
      </x:c>
      <x:c r="G82" t="inlineStr">
        <x:is>
          <x:t xml:space="preserve">未知</x:t>
        </x:is>
      </x:c>
      <x:c r="I82" t="inlineStr">
        <x:is>
          <x:t xml:space="preserve">待逐条核验；不自动填分</x:t>
        </x:is>
      </x:c>
      <x:c r="J82" t="n">
        <x:f>'三级指标树'!G10</x:f>
        <x:v>0.0605</x:v>
      </x:c>
      <x:c r="K82" t="n">
        <x:f>IFERROR(IF(AND(ISNUMBER(E82),E82&gt;=参数!$B$3,E82&lt;=参数!$B$4,E82=INT(E82),TRIM(F82)&lt;&gt;""),1,0),0)</x:f>
        <x:v>0</x:v>
      </x:c>
      <x:c r="L82" t="n">
        <x:f>IFERROR(K82*N(E82),0)</x:f>
        <x:v>0</x:v>
      </x:c>
    </x:row>
    <x:row r="83">
      <x:c r="A83" t="inlineStr">
        <x:is>
          <x:t xml:space="preserve">P05</x:t>
        </x:is>
      </x:c>
      <x:c r="B83" t="inlineStr">
        <x:is>
          <x:t xml:space="preserve">研究培养</x:t>
        </x:is>
      </x:c>
      <x:c r="C83" t="inlineStr">
        <x:is>
          <x:t xml:space="preserve">科研匹配</x:t>
        </x:is>
      </x:c>
      <x:c r="D83" t="inlineStr">
        <x:is>
          <x:t xml:space="preserve">导师招生路径证据</x:t>
        </x:is>
      </x:c>
      <x:c r="G83" t="inlineStr">
        <x:is>
          <x:t xml:space="preserve">未知</x:t>
        </x:is>
      </x:c>
      <x:c r="I83" t="inlineStr">
        <x:is>
          <x:t xml:space="preserve">待逐条核验；不自动填分</x:t>
        </x:is>
      </x:c>
      <x:c r="J83" t="n">
        <x:f>'三级指标树'!G11</x:f>
        <x:v>0.0495</x:v>
      </x:c>
      <x:c r="K83" t="n">
        <x:f>IFERROR(IF(AND(ISNUMBER(E83),E83&gt;=参数!$B$3,E83&lt;=参数!$B$4,E83=INT(E83),TRIM(F83)&lt;&gt;""),1,0),0)</x:f>
        <x:v>0</x:v>
      </x:c>
      <x:c r="L83" t="n">
        <x:f>IFERROR(K83*N(E83),0)</x:f>
        <x:v>0</x:v>
      </x:c>
    </x:row>
    <x:row r="84">
      <x:c r="A84" t="inlineStr">
        <x:is>
          <x:t xml:space="preserve">P05</x:t>
        </x:is>
      </x:c>
      <x:c r="B84" t="inlineStr">
        <x:is>
          <x:t xml:space="preserve">研究培养</x:t>
        </x:is>
      </x:c>
      <x:c r="C84" t="inlineStr">
        <x:is>
          <x:t xml:space="preserve">培养可进入</x:t>
        </x:is>
      </x:c>
      <x:c r="D84" t="inlineStr">
        <x:is>
          <x:t xml:space="preserve">实践机制适用性</x:t>
        </x:is>
      </x:c>
      <x:c r="G84" t="inlineStr">
        <x:is>
          <x:t xml:space="preserve">未知</x:t>
        </x:is>
      </x:c>
      <x:c r="I84" t="inlineStr">
        <x:is>
          <x:t xml:space="preserve">待逐条核验；不自动填分</x:t>
        </x:is>
      </x:c>
      <x:c r="J84" t="n">
        <x:f>'三级指标树'!G12</x:f>
        <x:v>0.045</x:v>
      </x:c>
      <x:c r="K84" t="n">
        <x:f>IFERROR(IF(AND(ISNUMBER(E84),E84&gt;=参数!$B$3,E84&lt;=参数!$B$4,E84=INT(E84),TRIM(F84)&lt;&gt;""),1,0),0)</x:f>
        <x:v>0</x:v>
      </x:c>
      <x:c r="L84" t="n">
        <x:f>IFERROR(K84*N(E84),0)</x:f>
        <x:v>0</x:v>
      </x:c>
    </x:row>
    <x:row r="85">
      <x:c r="A85" t="inlineStr">
        <x:is>
          <x:t xml:space="preserve">P05</x:t>
        </x:is>
      </x:c>
      <x:c r="B85" t="inlineStr">
        <x:is>
          <x:t xml:space="preserve">研究培养</x:t>
        </x:is>
      </x:c>
      <x:c r="C85" t="inlineStr">
        <x:is>
          <x:t xml:space="preserve">培养可进入</x:t>
        </x:is>
      </x:c>
      <x:c r="D85" t="inlineStr">
        <x:is>
          <x:t xml:space="preserve">平台资源可进入性</x:t>
        </x:is>
      </x:c>
      <x:c r="G85" t="inlineStr">
        <x:is>
          <x:t xml:space="preserve">未知</x:t>
        </x:is>
      </x:c>
      <x:c r="I85" t="inlineStr">
        <x:is>
          <x:t xml:space="preserve">待逐条核验；不自动填分</x:t>
        </x:is>
      </x:c>
      <x:c r="J85" t="n">
        <x:f>'三级指标树'!G13</x:f>
        <x:v>0.045</x:v>
      </x:c>
      <x:c r="K85" t="n">
        <x:f>IFERROR(IF(AND(ISNUMBER(E85),E85&gt;=参数!$B$3,E85&lt;=参数!$B$4,E85=INT(E85),TRIM(F85)&lt;&gt;""),1,0),0)</x:f>
        <x:v>0</x:v>
      </x:c>
      <x:c r="L85" t="n">
        <x:f>IFERROR(K85*N(E85),0)</x:f>
        <x:v>0</x:v>
      </x:c>
    </x:row>
    <x:row r="86">
      <x:c r="A86" t="inlineStr">
        <x:is>
          <x:t xml:space="preserve">P05</x:t>
        </x:is>
      </x:c>
      <x:c r="B86" t="inlineStr">
        <x:is>
          <x:t xml:space="preserve">地域生态</x:t>
        </x:is>
      </x:c>
      <x:c r="C86" t="inlineStr">
        <x:is>
          <x:t xml:space="preserve">产业机会</x:t>
        </x:is>
      </x:c>
      <x:c r="D86" t="inlineStr">
        <x:is>
          <x:t xml:space="preserve">城市AI岗位生态</x:t>
        </x:is>
      </x:c>
      <x:c r="G86" t="inlineStr">
        <x:is>
          <x:t xml:space="preserve">未知</x:t>
        </x:is>
      </x:c>
      <x:c r="I86" t="inlineStr">
        <x:is>
          <x:t xml:space="preserve">待逐条核验；不自动填分</x:t>
        </x:is>
      </x:c>
      <x:c r="J86" t="n">
        <x:f>'三级指标树'!G14</x:f>
        <x:v>0.04225</x:v>
      </x:c>
      <x:c r="K86" t="n">
        <x:f>IFERROR(IF(AND(ISNUMBER(E86),E86&gt;=参数!$B$3,E86&lt;=参数!$B$4,E86=INT(E86),TRIM(F86)&lt;&gt;""),1,0),0)</x:f>
        <x:v>0</x:v>
      </x:c>
      <x:c r="L86" t="n">
        <x:f>IFERROR(K86*N(E86),0)</x:f>
        <x:v>0</x:v>
      </x:c>
    </x:row>
    <x:row r="87">
      <x:c r="A87" t="inlineStr">
        <x:is>
          <x:t xml:space="preserve">P05</x:t>
        </x:is>
      </x:c>
      <x:c r="B87" t="inlineStr">
        <x:is>
          <x:t xml:space="preserve">地域生态</x:t>
        </x:is>
      </x:c>
      <x:c r="C87" t="inlineStr">
        <x:is>
          <x:t xml:space="preserve">产业机会</x:t>
        </x:is>
      </x:c>
      <x:c r="D87" t="inlineStr">
        <x:is>
          <x:t xml:space="preserve">实习合作半径</x:t>
        </x:is>
      </x:c>
      <x:c r="G87" t="inlineStr">
        <x:is>
          <x:t xml:space="preserve">未知</x:t>
        </x:is>
      </x:c>
      <x:c r="I87" t="inlineStr">
        <x:is>
          <x:t xml:space="preserve">待逐条核验；不自动填分</x:t>
        </x:is>
      </x:c>
      <x:c r="J87" t="n">
        <x:f>'三级指标树'!G15</x:f>
        <x:v>0.02275</x:v>
      </x:c>
      <x:c r="K87" t="n">
        <x:f>IFERROR(IF(AND(ISNUMBER(E87),E87&gt;=参数!$B$3,E87&lt;=参数!$B$4,E87=INT(E87),TRIM(F87)&lt;&gt;""),1,0),0)</x:f>
        <x:v>0</x:v>
      </x:c>
      <x:c r="L87" t="n">
        <x:f>IFERROR(K87*N(E87),0)</x:f>
        <x:v>0</x:v>
      </x:c>
    </x:row>
    <x:row r="88">
      <x:c r="A88" t="inlineStr">
        <x:is>
          <x:t xml:space="preserve">P05</x:t>
        </x:is>
      </x:c>
      <x:c r="B88" t="inlineStr">
        <x:is>
          <x:t xml:space="preserve">地域生态</x:t>
        </x:is>
      </x:c>
      <x:c r="C88" t="inlineStr">
        <x:is>
          <x:t xml:space="preserve">生活适配</x:t>
        </x:is>
      </x:c>
      <x:c r="D88" t="inlineStr">
        <x:is>
          <x:t xml:space="preserve">地域与气候</x:t>
        </x:is>
      </x:c>
      <x:c r="G88" t="inlineStr">
        <x:is>
          <x:t xml:space="preserve">未知</x:t>
        </x:is>
      </x:c>
      <x:c r="I88" t="inlineStr">
        <x:is>
          <x:t xml:space="preserve">待逐条核验；不自动填分</x:t>
        </x:is>
      </x:c>
      <x:c r="J88" t="n">
        <x:f>'三级指标树'!G16</x:f>
        <x:v>0.035</x:v>
      </x:c>
      <x:c r="K88" t="n">
        <x:f>IFERROR(IF(AND(ISNUMBER(E88),E88&gt;=参数!$B$3,E88&lt;=参数!$B$4,E88=INT(E88),TRIM(F88)&lt;&gt;""),1,0),0)</x:f>
        <x:v>0</x:v>
      </x:c>
      <x:c r="L88" t="n">
        <x:f>IFERROR(K88*N(E88),0)</x:f>
        <x:v>0</x:v>
      </x:c>
    </x:row>
    <x:row r="89">
      <x:c r="A89" t="inlineStr">
        <x:is>
          <x:t xml:space="preserve">P05</x:t>
        </x:is>
      </x:c>
      <x:c r="B89" t="inlineStr">
        <x:is>
          <x:t xml:space="preserve">成本安排</x:t>
        </x:is>
      </x:c>
      <x:c r="C89" t="inlineStr">
        <x:is>
          <x:t xml:space="preserve">经济成本</x:t>
        </x:is>
      </x:c>
      <x:c r="D89" t="inlineStr">
        <x:is>
          <x:t xml:space="preserve">学费及住宿</x:t>
        </x:is>
      </x:c>
      <x:c r="G89" t="inlineStr">
        <x:is>
          <x:t xml:space="preserve">未知</x:t>
        </x:is>
      </x:c>
      <x:c r="I89" t="inlineStr">
        <x:is>
          <x:t xml:space="preserve">待逐条核验；不自动填分</x:t>
        </x:is>
      </x:c>
      <x:c r="J89" t="n">
        <x:f>'三级指标树'!G17</x:f>
        <x:v>0.015125</x:v>
      </x:c>
      <x:c r="K89" t="n">
        <x:f>IFERROR(IF(AND(ISNUMBER(E89),E89&gt;=参数!$B$3,E89&lt;=参数!$B$4,E89=INT(E89),TRIM(F89)&lt;&gt;""),1,0),0)</x:f>
        <x:v>0</x:v>
      </x:c>
      <x:c r="L89" t="n">
        <x:f>IFERROR(K89*N(E89),0)</x:f>
        <x:v>0</x:v>
      </x:c>
    </x:row>
    <x:row r="90">
      <x:c r="A90" t="inlineStr">
        <x:is>
          <x:t xml:space="preserve">P05</x:t>
        </x:is>
      </x:c>
      <x:c r="B90" t="inlineStr">
        <x:is>
          <x:t xml:space="preserve">成本安排</x:t>
        </x:is>
      </x:c>
      <x:c r="C90" t="inlineStr">
        <x:is>
          <x:t xml:space="preserve">经济成本</x:t>
        </x:is>
      </x:c>
      <x:c r="D90" t="inlineStr">
        <x:is>
          <x:t xml:space="preserve">异地与额外支出</x:t>
        </x:is>
      </x:c>
      <x:c r="G90" t="inlineStr">
        <x:is>
          <x:t xml:space="preserve">未知</x:t>
        </x:is>
      </x:c>
      <x:c r="I90" t="inlineStr">
        <x:is>
          <x:t xml:space="preserve">待逐条核验；不自动填分</x:t>
        </x:is>
      </x:c>
      <x:c r="J90" t="n">
        <x:f>'三级指标树'!G18</x:f>
        <x:v>0.012375</x:v>
      </x:c>
      <x:c r="K90" t="n">
        <x:f>IFERROR(IF(AND(ISNUMBER(E90),E90&gt;=参数!$B$3,E90&lt;=参数!$B$4,E90=INT(E90),TRIM(F90)&lt;&gt;""),1,0),0)</x:f>
        <x:v>0</x:v>
      </x:c>
      <x:c r="L90" t="n">
        <x:f>IFERROR(K90*N(E90),0)</x:f>
        <x:v>0</x:v>
      </x:c>
    </x:row>
    <x:row r="91">
      <x:c r="A91" t="inlineStr">
        <x:is>
          <x:t xml:space="preserve">P05</x:t>
        </x:is>
      </x:c>
      <x:c r="B91" t="inlineStr">
        <x:is>
          <x:t xml:space="preserve">成本安排</x:t>
        </x:is>
      </x:c>
      <x:c r="C91" t="inlineStr">
        <x:is>
          <x:t xml:space="preserve">培养安排</x:t>
        </x:is>
      </x:c>
      <x:c r="D91" t="inlineStr">
        <x:is>
          <x:t xml:space="preserve">学制与企业实践</x:t>
        </x:is>
      </x:c>
      <x:c r="G91" t="inlineStr">
        <x:is>
          <x:t xml:space="preserve">未知</x:t>
        </x:is>
      </x:c>
      <x:c r="I91" t="inlineStr">
        <x:is>
          <x:t xml:space="preserve">待逐条核验；不自动填分</x:t>
        </x:is>
      </x:c>
      <x:c r="J91" t="n">
        <x:f>'三级指标树'!G19</x:f>
        <x:v>0.0225</x:v>
      </x:c>
      <x:c r="K91" t="n">
        <x:f>IFERROR(IF(AND(ISNUMBER(E91),E91&gt;=参数!$B$3,E91&lt;=参数!$B$4,E91=INT(E91),TRIM(F91)&lt;&gt;""),1,0),0)</x:f>
        <x:v>0</x:v>
      </x:c>
      <x:c r="L91" t="n">
        <x:f>IFERROR(K91*N(E91),0)</x:f>
        <x:v>0</x:v>
      </x:c>
    </x:row>
    <x:row r="92">
      <x:c r="A92" t="inlineStr">
        <x:is>
          <x:t xml:space="preserve">P06</x:t>
        </x:is>
      </x:c>
      <x:c r="B92" t="inlineStr">
        <x:is>
          <x:t xml:space="preserve">职业发展</x:t>
        </x:is>
      </x:c>
      <x:c r="C92" t="inlineStr">
        <x:is>
          <x:t xml:space="preserve">AI工程就业</x:t>
        </x:is>
      </x:c>
      <x:c r="D92" t="inlineStr">
        <x:is>
          <x:t xml:space="preserve">岗位与实习机会</x:t>
        </x:is>
      </x:c>
      <x:c r="G92" t="inlineStr">
        <x:is>
          <x:t xml:space="preserve">未知</x:t>
        </x:is>
      </x:c>
      <x:c r="I92" t="inlineStr">
        <x:is>
          <x:t xml:space="preserve">待逐条核验；不自动填分</x:t>
        </x:is>
      </x:c>
      <x:c r="J92" t="n">
        <x:f>'三级指标树'!G2</x:f>
        <x:v>0.105</x:v>
      </x:c>
      <x:c r="K92" t="n">
        <x:f>IFERROR(IF(AND(ISNUMBER(E92),E92&gt;=参数!$B$3,E92&lt;=参数!$B$4,E92=INT(E92),TRIM(F92)&lt;&gt;""),1,0),0)</x:f>
        <x:v>0</x:v>
      </x:c>
      <x:c r="L92" t="n">
        <x:f>IFERROR(K92*N(E92),0)</x:f>
        <x:v>0</x:v>
      </x:c>
    </x:row>
    <x:row r="93">
      <x:c r="A93" t="inlineStr">
        <x:is>
          <x:t xml:space="preserve">P06</x:t>
        </x:is>
      </x:c>
      <x:c r="B93" t="inlineStr">
        <x:is>
          <x:t xml:space="preserve">职业发展</x:t>
        </x:is>
      </x:c>
      <x:c r="C93" t="inlineStr">
        <x:is>
          <x:t xml:space="preserve">AI工程就业</x:t>
        </x:is>
      </x:c>
      <x:c r="D93" t="inlineStr">
        <x:is>
          <x:t xml:space="preserve">产业合作可参与性</x:t>
        </x:is>
      </x:c>
      <x:c r="G93" t="inlineStr">
        <x:is>
          <x:t xml:space="preserve">未知</x:t>
        </x:is>
      </x:c>
      <x:c r="I93" t="inlineStr">
        <x:is>
          <x:t xml:space="preserve">待逐条核验；不自动填分</x:t>
        </x:is>
      </x:c>
      <x:c r="J93" t="n">
        <x:f>'三级指标树'!G3</x:f>
        <x:v>0.07</x:v>
      </x:c>
      <x:c r="K93" t="n">
        <x:f>IFERROR(IF(AND(ISNUMBER(E93),E93&gt;=参数!$B$3,E93&lt;=参数!$B$4,E93=INT(E93),TRIM(F93)&lt;&gt;""),1,0),0)</x:f>
        <x:v>0</x:v>
      </x:c>
      <x:c r="L93" t="n">
        <x:f>IFERROR(K93*N(E93),0)</x:f>
        <x:v>0</x:v>
      </x:c>
    </x:row>
    <x:row r="94">
      <x:c r="A94" t="inlineStr">
        <x:is>
          <x:t xml:space="preserve">P06</x:t>
        </x:is>
      </x:c>
      <x:c r="B94" t="inlineStr">
        <x:is>
          <x:t xml:space="preserve">职业发展</x:t>
        </x:is>
      </x:c>
      <x:c r="C94" t="inlineStr">
        <x:is>
          <x:t xml:space="preserve">长期成长</x:t>
        </x:is>
      </x:c>
      <x:c r="D94" t="inlineStr">
        <x:is>
          <x:t xml:space="preserve">Agent/LLM能力积累</x:t>
        </x:is>
      </x:c>
      <x:c r="G94" t="inlineStr">
        <x:is>
          <x:t xml:space="preserve">未知</x:t>
        </x:is>
      </x:c>
      <x:c r="I94" t="inlineStr">
        <x:is>
          <x:t xml:space="preserve">待逐条核验；不自动填分</x:t>
        </x:is>
      </x:c>
      <x:c r="J94" t="n">
        <x:f>'三级指标树'!G4</x:f>
        <x:v>0.105</x:v>
      </x:c>
      <x:c r="K94" t="n">
        <x:f>IFERROR(IF(AND(ISNUMBER(E94),E94&gt;=参数!$B$3,E94&lt;=参数!$B$4,E94=INT(E94),TRIM(F94)&lt;&gt;""),1,0),0)</x:f>
        <x:v>0</x:v>
      </x:c>
      <x:c r="L94" t="n">
        <x:f>IFERROR(K94*N(E94),0)</x:f>
        <x:v>0</x:v>
      </x:c>
    </x:row>
    <x:row r="95">
      <x:c r="A95" t="inlineStr">
        <x:is>
          <x:t xml:space="preserve">P06</x:t>
        </x:is>
      </x:c>
      <x:c r="B95" t="inlineStr">
        <x:is>
          <x:t xml:space="preserve">职业发展</x:t>
        </x:is>
      </x:c>
      <x:c r="C95" t="inlineStr">
        <x:is>
          <x:t xml:space="preserve">长期成长</x:t>
        </x:is>
      </x:c>
      <x:c r="D95" t="inlineStr">
        <x:is>
          <x:t xml:space="preserve">具身/机器人发展空间</x:t>
        </x:is>
      </x:c>
      <x:c r="G95" t="inlineStr">
        <x:is>
          <x:t xml:space="preserve">未知</x:t>
        </x:is>
      </x:c>
      <x:c r="I95" t="inlineStr">
        <x:is>
          <x:t xml:space="preserve">待逐条核验；不自动填分</x:t>
        </x:is>
      </x:c>
      <x:c r="J95" t="n">
        <x:f>'三级指标树'!G5</x:f>
        <x:v>0.07</x:v>
      </x:c>
      <x:c r="K95" t="n">
        <x:f>IFERROR(IF(AND(ISNUMBER(E95),E95&gt;=参数!$B$3,E95&lt;=参数!$B$4,E95=INT(E95),TRIM(F95)&lt;&gt;""),1,0),0)</x:f>
        <x:v>0</x:v>
      </x:c>
      <x:c r="L95" t="n">
        <x:f>IFERROR(K95*N(E95),0)</x:f>
        <x:v>0</x:v>
      </x:c>
    </x:row>
    <x:row r="96">
      <x:c r="A96" t="inlineStr">
        <x:is>
          <x:t xml:space="preserve">P06</x:t>
        </x:is>
      </x:c>
      <x:c r="B96" t="inlineStr">
        <x:is>
          <x:t xml:space="preserve">报考可行性</x:t>
        </x:is>
      </x:c>
      <x:c r="C96" t="inlineStr">
        <x:is>
          <x:t xml:space="preserve">招生路径</x:t>
        </x:is>
      </x:c>
      <x:c r="D96" t="inlineStr">
        <x:is>
          <x:t xml:space="preserve">全日制统考路径明确性</x:t>
        </x:is>
      </x:c>
      <x:c r="G96" t="inlineStr">
        <x:is>
          <x:t xml:space="preserve">未知</x:t>
        </x:is>
      </x:c>
      <x:c r="I96" t="inlineStr">
        <x:is>
          <x:t xml:space="preserve">待逐条核验；不自动填分</x:t>
        </x:is>
      </x:c>
      <x:c r="J96" t="n">
        <x:f>'三级指标树'!G6</x:f>
        <x:v>0.099</x:v>
      </x:c>
      <x:c r="K96" t="n">
        <x:f>IFERROR(IF(AND(ISNUMBER(E96),E96&gt;=参数!$B$3,E96&lt;=参数!$B$4,E96=INT(E96),TRIM(F96)&lt;&gt;""),1,0),0)</x:f>
        <x:v>0</x:v>
      </x:c>
      <x:c r="L96" t="n">
        <x:f>IFERROR(K96*N(E96),0)</x:f>
        <x:v>0</x:v>
      </x:c>
    </x:row>
    <x:row r="97">
      <x:c r="A97" t="inlineStr">
        <x:is>
          <x:t xml:space="preserve">P06</x:t>
        </x:is>
      </x:c>
      <x:c r="B97" t="inlineStr">
        <x:is>
          <x:t xml:space="preserve">报考可行性</x:t>
        </x:is>
      </x:c>
      <x:c r="C97" t="inlineStr">
        <x:is>
          <x:t xml:space="preserve">招生路径</x:t>
        </x:is>
      </x:c>
      <x:c r="D97" t="inlineStr">
        <x:is>
          <x:t xml:space="preserve">名额口径可靠性</x:t>
        </x:is>
      </x:c>
      <x:c r="G97" t="inlineStr">
        <x:is>
          <x:t xml:space="preserve">未知</x:t>
        </x:is>
      </x:c>
      <x:c r="I97" t="inlineStr">
        <x:is>
          <x:t xml:space="preserve">待逐条核验；不自动填分</x:t>
        </x:is>
      </x:c>
      <x:c r="J97" t="n">
        <x:f>'三级指标树'!G7</x:f>
        <x:v>0.066</x:v>
      </x:c>
      <x:c r="K97" t="n">
        <x:f>IFERROR(IF(AND(ISNUMBER(E97),E97&gt;=参数!$B$3,E97&lt;=参数!$B$4,E97=INT(E97),TRIM(F97)&lt;&gt;""),1,0),0)</x:f>
        <x:v>0</x:v>
      </x:c>
      <x:c r="L97" t="n">
        <x:f>IFERROR(K97*N(E97),0)</x:f>
        <x:v>0</x:v>
      </x:c>
    </x:row>
    <x:row r="98">
      <x:c r="A98" t="inlineStr">
        <x:is>
          <x:t xml:space="preserve">P06</x:t>
        </x:is>
      </x:c>
      <x:c r="B98" t="inlineStr">
        <x:is>
          <x:t xml:space="preserve">报考可行性</x:t>
        </x:is>
      </x:c>
      <x:c r="C98" t="inlineStr">
        <x:is>
          <x:t xml:space="preserve">考试风险</x:t>
        </x:is>
      </x:c>
      <x:c r="D98" t="inlineStr">
        <x:is>
          <x:t xml:space="preserve">初复试科目稳定性</x:t>
        </x:is>
      </x:c>
      <x:c r="G98" t="inlineStr">
        <x:is>
          <x:t xml:space="preserve">未知</x:t>
        </x:is>
      </x:c>
      <x:c r="I98" t="inlineStr">
        <x:is>
          <x:t xml:space="preserve">待逐条核验；不自动填分</x:t>
        </x:is>
      </x:c>
      <x:c r="J98" t="n">
        <x:f>'三级指标树'!G8</x:f>
        <x:v>0.07425</x:v>
      </x:c>
      <x:c r="K98" t="n">
        <x:f>IFERROR(IF(AND(ISNUMBER(E98),E98&gt;=参数!$B$3,E98&lt;=参数!$B$4,E98=INT(E98),TRIM(F98)&lt;&gt;""),1,0),0)</x:f>
        <x:v>0</x:v>
      </x:c>
      <x:c r="L98" t="n">
        <x:f>IFERROR(K98*N(E98),0)</x:f>
        <x:v>0</x:v>
      </x:c>
    </x:row>
    <x:row r="99">
      <x:c r="A99" t="inlineStr">
        <x:is>
          <x:t xml:space="preserve">P06</x:t>
        </x:is>
      </x:c>
      <x:c r="B99" t="inlineStr">
        <x:is>
          <x:t xml:space="preserve">报考可行性</x:t>
        </x:is>
      </x:c>
      <x:c r="C99" t="inlineStr">
        <x:is>
          <x:t xml:space="preserve">考试风险</x:t>
        </x:is>
      </x:c>
      <x:c r="D99" t="inlineStr">
        <x:is>
          <x:t xml:space="preserve">复试规则可预期性</x:t>
        </x:is>
      </x:c>
      <x:c r="G99" t="inlineStr">
        <x:is>
          <x:t xml:space="preserve">未知</x:t>
        </x:is>
      </x:c>
      <x:c r="I99" t="inlineStr">
        <x:is>
          <x:t xml:space="preserve">待逐条核验；不自动填分</x:t>
        </x:is>
      </x:c>
      <x:c r="J99" t="n">
        <x:f>'三级指标树'!G9</x:f>
        <x:v>0.06075</x:v>
      </x:c>
      <x:c r="K99" t="n">
        <x:f>IFERROR(IF(AND(ISNUMBER(E99),E99&gt;=参数!$B$3,E99&lt;=参数!$B$4,E99=INT(E99),TRIM(F99)&lt;&gt;""),1,0),0)</x:f>
        <x:v>0</x:v>
      </x:c>
      <x:c r="L99" t="n">
        <x:f>IFERROR(K99*N(E99),0)</x:f>
        <x:v>0</x:v>
      </x:c>
    </x:row>
    <x:row r="100">
      <x:c r="A100" t="inlineStr">
        <x:is>
          <x:t xml:space="preserve">P06</x:t>
        </x:is>
      </x:c>
      <x:c r="B100" t="inlineStr">
        <x:is>
          <x:t xml:space="preserve">研究培养</x:t>
        </x:is>
      </x:c>
      <x:c r="C100" t="inlineStr">
        <x:is>
          <x:t xml:space="preserve">科研匹配</x:t>
        </x:is>
      </x:c>
      <x:c r="D100" t="inlineStr">
        <x:is>
          <x:t xml:space="preserve">研究方向相关性</x:t>
        </x:is>
      </x:c>
      <x:c r="G100" t="inlineStr">
        <x:is>
          <x:t xml:space="preserve">未知</x:t>
        </x:is>
      </x:c>
      <x:c r="I100" t="inlineStr">
        <x:is>
          <x:t xml:space="preserve">待逐条核验；不自动填分</x:t>
        </x:is>
      </x:c>
      <x:c r="J100" t="n">
        <x:f>'三级指标树'!G10</x:f>
        <x:v>0.0605</x:v>
      </x:c>
      <x:c r="K100" t="n">
        <x:f>IFERROR(IF(AND(ISNUMBER(E100),E100&gt;=参数!$B$3,E100&lt;=参数!$B$4,E100=INT(E100),TRIM(F100)&lt;&gt;""),1,0),0)</x:f>
        <x:v>0</x:v>
      </x:c>
      <x:c r="L100" t="n">
        <x:f>IFERROR(K100*N(E100),0)</x:f>
        <x:v>0</x:v>
      </x:c>
    </x:row>
    <x:row r="101">
      <x:c r="A101" t="inlineStr">
        <x:is>
          <x:t xml:space="preserve">P06</x:t>
        </x:is>
      </x:c>
      <x:c r="B101" t="inlineStr">
        <x:is>
          <x:t xml:space="preserve">研究培养</x:t>
        </x:is>
      </x:c>
      <x:c r="C101" t="inlineStr">
        <x:is>
          <x:t xml:space="preserve">科研匹配</x:t>
        </x:is>
      </x:c>
      <x:c r="D101" t="inlineStr">
        <x:is>
          <x:t xml:space="preserve">导师招生路径证据</x:t>
        </x:is>
      </x:c>
      <x:c r="G101" t="inlineStr">
        <x:is>
          <x:t xml:space="preserve">未知</x:t>
        </x:is>
      </x:c>
      <x:c r="I101" t="inlineStr">
        <x:is>
          <x:t xml:space="preserve">待逐条核验；不自动填分</x:t>
        </x:is>
      </x:c>
      <x:c r="J101" t="n">
        <x:f>'三级指标树'!G11</x:f>
        <x:v>0.0495</x:v>
      </x:c>
      <x:c r="K101" t="n">
        <x:f>IFERROR(IF(AND(ISNUMBER(E101),E101&gt;=参数!$B$3,E101&lt;=参数!$B$4,E101=INT(E101),TRIM(F101)&lt;&gt;""),1,0),0)</x:f>
        <x:v>0</x:v>
      </x:c>
      <x:c r="L101" t="n">
        <x:f>IFERROR(K101*N(E101),0)</x:f>
        <x:v>0</x:v>
      </x:c>
    </x:row>
    <x:row r="102">
      <x:c r="A102" t="inlineStr">
        <x:is>
          <x:t xml:space="preserve">P06</x:t>
        </x:is>
      </x:c>
      <x:c r="B102" t="inlineStr">
        <x:is>
          <x:t xml:space="preserve">研究培养</x:t>
        </x:is>
      </x:c>
      <x:c r="C102" t="inlineStr">
        <x:is>
          <x:t xml:space="preserve">培养可进入</x:t>
        </x:is>
      </x:c>
      <x:c r="D102" t="inlineStr">
        <x:is>
          <x:t xml:space="preserve">实践机制适用性</x:t>
        </x:is>
      </x:c>
      <x:c r="G102" t="inlineStr">
        <x:is>
          <x:t xml:space="preserve">未知</x:t>
        </x:is>
      </x:c>
      <x:c r="I102" t="inlineStr">
        <x:is>
          <x:t xml:space="preserve">待逐条核验；不自动填分</x:t>
        </x:is>
      </x:c>
      <x:c r="J102" t="n">
        <x:f>'三级指标树'!G12</x:f>
        <x:v>0.045</x:v>
      </x:c>
      <x:c r="K102" t="n">
        <x:f>IFERROR(IF(AND(ISNUMBER(E102),E102&gt;=参数!$B$3,E102&lt;=参数!$B$4,E102=INT(E102),TRIM(F102)&lt;&gt;""),1,0),0)</x:f>
        <x:v>0</x:v>
      </x:c>
      <x:c r="L102" t="n">
        <x:f>IFERROR(K102*N(E102),0)</x:f>
        <x:v>0</x:v>
      </x:c>
    </x:row>
    <x:row r="103">
      <x:c r="A103" t="inlineStr">
        <x:is>
          <x:t xml:space="preserve">P06</x:t>
        </x:is>
      </x:c>
      <x:c r="B103" t="inlineStr">
        <x:is>
          <x:t xml:space="preserve">研究培养</x:t>
        </x:is>
      </x:c>
      <x:c r="C103" t="inlineStr">
        <x:is>
          <x:t xml:space="preserve">培养可进入</x:t>
        </x:is>
      </x:c>
      <x:c r="D103" t="inlineStr">
        <x:is>
          <x:t xml:space="preserve">平台资源可进入性</x:t>
        </x:is>
      </x:c>
      <x:c r="G103" t="inlineStr">
        <x:is>
          <x:t xml:space="preserve">未知</x:t>
        </x:is>
      </x:c>
      <x:c r="I103" t="inlineStr">
        <x:is>
          <x:t xml:space="preserve">待逐条核验；不自动填分</x:t>
        </x:is>
      </x:c>
      <x:c r="J103" t="n">
        <x:f>'三级指标树'!G13</x:f>
        <x:v>0.045</x:v>
      </x:c>
      <x:c r="K103" t="n">
        <x:f>IFERROR(IF(AND(ISNUMBER(E103),E103&gt;=参数!$B$3,E103&lt;=参数!$B$4,E103=INT(E103),TRIM(F103)&lt;&gt;""),1,0),0)</x:f>
        <x:v>0</x:v>
      </x:c>
      <x:c r="L103" t="n">
        <x:f>IFERROR(K103*N(E103),0)</x:f>
        <x:v>0</x:v>
      </x:c>
    </x:row>
    <x:row r="104">
      <x:c r="A104" t="inlineStr">
        <x:is>
          <x:t xml:space="preserve">P06</x:t>
        </x:is>
      </x:c>
      <x:c r="B104" t="inlineStr">
        <x:is>
          <x:t xml:space="preserve">地域生态</x:t>
        </x:is>
      </x:c>
      <x:c r="C104" t="inlineStr">
        <x:is>
          <x:t xml:space="preserve">产业机会</x:t>
        </x:is>
      </x:c>
      <x:c r="D104" t="inlineStr">
        <x:is>
          <x:t xml:space="preserve">城市AI岗位生态</x:t>
        </x:is>
      </x:c>
      <x:c r="G104" t="inlineStr">
        <x:is>
          <x:t xml:space="preserve">未知</x:t>
        </x:is>
      </x:c>
      <x:c r="I104" t="inlineStr">
        <x:is>
          <x:t xml:space="preserve">待逐条核验；不自动填分</x:t>
        </x:is>
      </x:c>
      <x:c r="J104" t="n">
        <x:f>'三级指标树'!G14</x:f>
        <x:v>0.04225</x:v>
      </x:c>
      <x:c r="K104" t="n">
        <x:f>IFERROR(IF(AND(ISNUMBER(E104),E104&gt;=参数!$B$3,E104&lt;=参数!$B$4,E104=INT(E104),TRIM(F104)&lt;&gt;""),1,0),0)</x:f>
        <x:v>0</x:v>
      </x:c>
      <x:c r="L104" t="n">
        <x:f>IFERROR(K104*N(E104),0)</x:f>
        <x:v>0</x:v>
      </x:c>
    </x:row>
    <x:row r="105">
      <x:c r="A105" t="inlineStr">
        <x:is>
          <x:t xml:space="preserve">P06</x:t>
        </x:is>
      </x:c>
      <x:c r="B105" t="inlineStr">
        <x:is>
          <x:t xml:space="preserve">地域生态</x:t>
        </x:is>
      </x:c>
      <x:c r="C105" t="inlineStr">
        <x:is>
          <x:t xml:space="preserve">产业机会</x:t>
        </x:is>
      </x:c>
      <x:c r="D105" t="inlineStr">
        <x:is>
          <x:t xml:space="preserve">实习合作半径</x:t>
        </x:is>
      </x:c>
      <x:c r="G105" t="inlineStr">
        <x:is>
          <x:t xml:space="preserve">未知</x:t>
        </x:is>
      </x:c>
      <x:c r="I105" t="inlineStr">
        <x:is>
          <x:t xml:space="preserve">待逐条核验；不自动填分</x:t>
        </x:is>
      </x:c>
      <x:c r="J105" t="n">
        <x:f>'三级指标树'!G15</x:f>
        <x:v>0.02275</x:v>
      </x:c>
      <x:c r="K105" t="n">
        <x:f>IFERROR(IF(AND(ISNUMBER(E105),E105&gt;=参数!$B$3,E105&lt;=参数!$B$4,E105=INT(E105),TRIM(F105)&lt;&gt;""),1,0),0)</x:f>
        <x:v>0</x:v>
      </x:c>
      <x:c r="L105" t="n">
        <x:f>IFERROR(K105*N(E105),0)</x:f>
        <x:v>0</x:v>
      </x:c>
    </x:row>
    <x:row r="106">
      <x:c r="A106" t="inlineStr">
        <x:is>
          <x:t xml:space="preserve">P06</x:t>
        </x:is>
      </x:c>
      <x:c r="B106" t="inlineStr">
        <x:is>
          <x:t xml:space="preserve">地域生态</x:t>
        </x:is>
      </x:c>
      <x:c r="C106" t="inlineStr">
        <x:is>
          <x:t xml:space="preserve">生活适配</x:t>
        </x:is>
      </x:c>
      <x:c r="D106" t="inlineStr">
        <x:is>
          <x:t xml:space="preserve">地域与气候</x:t>
        </x:is>
      </x:c>
      <x:c r="G106" t="inlineStr">
        <x:is>
          <x:t xml:space="preserve">未知</x:t>
        </x:is>
      </x:c>
      <x:c r="I106" t="inlineStr">
        <x:is>
          <x:t xml:space="preserve">待逐条核验；不自动填分</x:t>
        </x:is>
      </x:c>
      <x:c r="J106" t="n">
        <x:f>'三级指标树'!G16</x:f>
        <x:v>0.035</x:v>
      </x:c>
      <x:c r="K106" t="n">
        <x:f>IFERROR(IF(AND(ISNUMBER(E106),E106&gt;=参数!$B$3,E106&lt;=参数!$B$4,E106=INT(E106),TRIM(F106)&lt;&gt;""),1,0),0)</x:f>
        <x:v>0</x:v>
      </x:c>
      <x:c r="L106" t="n">
        <x:f>IFERROR(K106*N(E106),0)</x:f>
        <x:v>0</x:v>
      </x:c>
    </x:row>
    <x:row r="107">
      <x:c r="A107" t="inlineStr">
        <x:is>
          <x:t xml:space="preserve">P06</x:t>
        </x:is>
      </x:c>
      <x:c r="B107" t="inlineStr">
        <x:is>
          <x:t xml:space="preserve">成本安排</x:t>
        </x:is>
      </x:c>
      <x:c r="C107" t="inlineStr">
        <x:is>
          <x:t xml:space="preserve">经济成本</x:t>
        </x:is>
      </x:c>
      <x:c r="D107" t="inlineStr">
        <x:is>
          <x:t xml:space="preserve">学费及住宿</x:t>
        </x:is>
      </x:c>
      <x:c r="G107" t="inlineStr">
        <x:is>
          <x:t xml:space="preserve">未知</x:t>
        </x:is>
      </x:c>
      <x:c r="I107" t="inlineStr">
        <x:is>
          <x:t xml:space="preserve">待逐条核验；不自动填分</x:t>
        </x:is>
      </x:c>
      <x:c r="J107" t="n">
        <x:f>'三级指标树'!G17</x:f>
        <x:v>0.015125</x:v>
      </x:c>
      <x:c r="K107" t="n">
        <x:f>IFERROR(IF(AND(ISNUMBER(E107),E107&gt;=参数!$B$3,E107&lt;=参数!$B$4,E107=INT(E107),TRIM(F107)&lt;&gt;""),1,0),0)</x:f>
        <x:v>0</x:v>
      </x:c>
      <x:c r="L107" t="n">
        <x:f>IFERROR(K107*N(E107),0)</x:f>
        <x:v>0</x:v>
      </x:c>
    </x:row>
    <x:row r="108">
      <x:c r="A108" t="inlineStr">
        <x:is>
          <x:t xml:space="preserve">P06</x:t>
        </x:is>
      </x:c>
      <x:c r="B108" t="inlineStr">
        <x:is>
          <x:t xml:space="preserve">成本安排</x:t>
        </x:is>
      </x:c>
      <x:c r="C108" t="inlineStr">
        <x:is>
          <x:t xml:space="preserve">经济成本</x:t>
        </x:is>
      </x:c>
      <x:c r="D108" t="inlineStr">
        <x:is>
          <x:t xml:space="preserve">异地与额外支出</x:t>
        </x:is>
      </x:c>
      <x:c r="G108" t="inlineStr">
        <x:is>
          <x:t xml:space="preserve">未知</x:t>
        </x:is>
      </x:c>
      <x:c r="I108" t="inlineStr">
        <x:is>
          <x:t xml:space="preserve">待逐条核验；不自动填分</x:t>
        </x:is>
      </x:c>
      <x:c r="J108" t="n">
        <x:f>'三级指标树'!G18</x:f>
        <x:v>0.012375</x:v>
      </x:c>
      <x:c r="K108" t="n">
        <x:f>IFERROR(IF(AND(ISNUMBER(E108),E108&gt;=参数!$B$3,E108&lt;=参数!$B$4,E108=INT(E108),TRIM(F108)&lt;&gt;""),1,0),0)</x:f>
        <x:v>0</x:v>
      </x:c>
      <x:c r="L108" t="n">
        <x:f>IFERROR(K108*N(E108),0)</x:f>
        <x:v>0</x:v>
      </x:c>
    </x:row>
    <x:row r="109">
      <x:c r="A109" t="inlineStr">
        <x:is>
          <x:t xml:space="preserve">P06</x:t>
        </x:is>
      </x:c>
      <x:c r="B109" t="inlineStr">
        <x:is>
          <x:t xml:space="preserve">成本安排</x:t>
        </x:is>
      </x:c>
      <x:c r="C109" t="inlineStr">
        <x:is>
          <x:t xml:space="preserve">培养安排</x:t>
        </x:is>
      </x:c>
      <x:c r="D109" t="inlineStr">
        <x:is>
          <x:t xml:space="preserve">学制与企业实践</x:t>
        </x:is>
      </x:c>
      <x:c r="G109" t="inlineStr">
        <x:is>
          <x:t xml:space="preserve">未知</x:t>
        </x:is>
      </x:c>
      <x:c r="I109" t="inlineStr">
        <x:is>
          <x:t xml:space="preserve">待逐条核验；不自动填分</x:t>
        </x:is>
      </x:c>
      <x:c r="J109" t="n">
        <x:f>'三级指标树'!G19</x:f>
        <x:v>0.0225</x:v>
      </x:c>
      <x:c r="K109" t="n">
        <x:f>IFERROR(IF(AND(ISNUMBER(E109),E109&gt;=参数!$B$3,E109&lt;=参数!$B$4,E109=INT(E109),TRIM(F109)&lt;&gt;""),1,0),0)</x:f>
        <x:v>0</x:v>
      </x:c>
      <x:c r="L109" t="n">
        <x:f>IFERROR(K109*N(E109),0)</x:f>
        <x:v>0</x:v>
      </x:c>
    </x:row>
    <x:row r="110">
      <x:c r="A110" t="inlineStr">
        <x:is>
          <x:t xml:space="preserve">P07</x:t>
        </x:is>
      </x:c>
      <x:c r="B110" t="inlineStr">
        <x:is>
          <x:t xml:space="preserve">职业发展</x:t>
        </x:is>
      </x:c>
      <x:c r="C110" t="inlineStr">
        <x:is>
          <x:t xml:space="preserve">AI工程就业</x:t>
        </x:is>
      </x:c>
      <x:c r="D110" t="inlineStr">
        <x:is>
          <x:t xml:space="preserve">岗位与实习机会</x:t>
        </x:is>
      </x:c>
      <x:c r="G110" t="inlineStr">
        <x:is>
          <x:t xml:space="preserve">未知</x:t>
        </x:is>
      </x:c>
      <x:c r="I110" t="inlineStr">
        <x:is>
          <x:t xml:space="preserve">待逐条核验；不自动填分</x:t>
        </x:is>
      </x:c>
      <x:c r="J110" t="n">
        <x:f>'三级指标树'!G2</x:f>
        <x:v>0.105</x:v>
      </x:c>
      <x:c r="K110" t="n">
        <x:f>IFERROR(IF(AND(ISNUMBER(E110),E110&gt;=参数!$B$3,E110&lt;=参数!$B$4,E110=INT(E110),TRIM(F110)&lt;&gt;""),1,0),0)</x:f>
        <x:v>0</x:v>
      </x:c>
      <x:c r="L110" t="n">
        <x:f>IFERROR(K110*N(E110),0)</x:f>
        <x:v>0</x:v>
      </x:c>
    </x:row>
    <x:row r="111">
      <x:c r="A111" t="inlineStr">
        <x:is>
          <x:t xml:space="preserve">P07</x:t>
        </x:is>
      </x:c>
      <x:c r="B111" t="inlineStr">
        <x:is>
          <x:t xml:space="preserve">职业发展</x:t>
        </x:is>
      </x:c>
      <x:c r="C111" t="inlineStr">
        <x:is>
          <x:t xml:space="preserve">AI工程就业</x:t>
        </x:is>
      </x:c>
      <x:c r="D111" t="inlineStr">
        <x:is>
          <x:t xml:space="preserve">产业合作可参与性</x:t>
        </x:is>
      </x:c>
      <x:c r="G111" t="inlineStr">
        <x:is>
          <x:t xml:space="preserve">未知</x:t>
        </x:is>
      </x:c>
      <x:c r="I111" t="inlineStr">
        <x:is>
          <x:t xml:space="preserve">待逐条核验；不自动填分</x:t>
        </x:is>
      </x:c>
      <x:c r="J111" t="n">
        <x:f>'三级指标树'!G3</x:f>
        <x:v>0.07</x:v>
      </x:c>
      <x:c r="K111" t="n">
        <x:f>IFERROR(IF(AND(ISNUMBER(E111),E111&gt;=参数!$B$3,E111&lt;=参数!$B$4,E111=INT(E111),TRIM(F111)&lt;&gt;""),1,0),0)</x:f>
        <x:v>0</x:v>
      </x:c>
      <x:c r="L111" t="n">
        <x:f>IFERROR(K111*N(E111),0)</x:f>
        <x:v>0</x:v>
      </x:c>
    </x:row>
    <x:row r="112">
      <x:c r="A112" t="inlineStr">
        <x:is>
          <x:t xml:space="preserve">P07</x:t>
        </x:is>
      </x:c>
      <x:c r="B112" t="inlineStr">
        <x:is>
          <x:t xml:space="preserve">职业发展</x:t>
        </x:is>
      </x:c>
      <x:c r="C112" t="inlineStr">
        <x:is>
          <x:t xml:space="preserve">长期成长</x:t>
        </x:is>
      </x:c>
      <x:c r="D112" t="inlineStr">
        <x:is>
          <x:t xml:space="preserve">Agent/LLM能力积累</x:t>
        </x:is>
      </x:c>
      <x:c r="G112" t="inlineStr">
        <x:is>
          <x:t xml:space="preserve">未知</x:t>
        </x:is>
      </x:c>
      <x:c r="I112" t="inlineStr">
        <x:is>
          <x:t xml:space="preserve">待逐条核验；不自动填分</x:t>
        </x:is>
      </x:c>
      <x:c r="J112" t="n">
        <x:f>'三级指标树'!G4</x:f>
        <x:v>0.105</x:v>
      </x:c>
      <x:c r="K112" t="n">
        <x:f>IFERROR(IF(AND(ISNUMBER(E112),E112&gt;=参数!$B$3,E112&lt;=参数!$B$4,E112=INT(E112),TRIM(F112)&lt;&gt;""),1,0),0)</x:f>
        <x:v>0</x:v>
      </x:c>
      <x:c r="L112" t="n">
        <x:f>IFERROR(K112*N(E112),0)</x:f>
        <x:v>0</x:v>
      </x:c>
    </x:row>
    <x:row r="113">
      <x:c r="A113" t="inlineStr">
        <x:is>
          <x:t xml:space="preserve">P07</x:t>
        </x:is>
      </x:c>
      <x:c r="B113" t="inlineStr">
        <x:is>
          <x:t xml:space="preserve">职业发展</x:t>
        </x:is>
      </x:c>
      <x:c r="C113" t="inlineStr">
        <x:is>
          <x:t xml:space="preserve">长期成长</x:t>
        </x:is>
      </x:c>
      <x:c r="D113" t="inlineStr">
        <x:is>
          <x:t xml:space="preserve">具身/机器人发展空间</x:t>
        </x:is>
      </x:c>
      <x:c r="G113" t="inlineStr">
        <x:is>
          <x:t xml:space="preserve">未知</x:t>
        </x:is>
      </x:c>
      <x:c r="I113" t="inlineStr">
        <x:is>
          <x:t xml:space="preserve">待逐条核验；不自动填分</x:t>
        </x:is>
      </x:c>
      <x:c r="J113" t="n">
        <x:f>'三级指标树'!G5</x:f>
        <x:v>0.07</x:v>
      </x:c>
      <x:c r="K113" t="n">
        <x:f>IFERROR(IF(AND(ISNUMBER(E113),E113&gt;=参数!$B$3,E113&lt;=参数!$B$4,E113=INT(E113),TRIM(F113)&lt;&gt;""),1,0),0)</x:f>
        <x:v>0</x:v>
      </x:c>
      <x:c r="L113" t="n">
        <x:f>IFERROR(K113*N(E113),0)</x:f>
        <x:v>0</x:v>
      </x:c>
    </x:row>
    <x:row r="114">
      <x:c r="A114" t="inlineStr">
        <x:is>
          <x:t xml:space="preserve">P07</x:t>
        </x:is>
      </x:c>
      <x:c r="B114" t="inlineStr">
        <x:is>
          <x:t xml:space="preserve">报考可行性</x:t>
        </x:is>
      </x:c>
      <x:c r="C114" t="inlineStr">
        <x:is>
          <x:t xml:space="preserve">招生路径</x:t>
        </x:is>
      </x:c>
      <x:c r="D114" t="inlineStr">
        <x:is>
          <x:t xml:space="preserve">全日制统考路径明确性</x:t>
        </x:is>
      </x:c>
      <x:c r="G114" t="inlineStr">
        <x:is>
          <x:t xml:space="preserve">未知</x:t>
        </x:is>
      </x:c>
      <x:c r="I114" t="inlineStr">
        <x:is>
          <x:t xml:space="preserve">待逐条核验；不自动填分</x:t>
        </x:is>
      </x:c>
      <x:c r="J114" t="n">
        <x:f>'三级指标树'!G6</x:f>
        <x:v>0.099</x:v>
      </x:c>
      <x:c r="K114" t="n">
        <x:f>IFERROR(IF(AND(ISNUMBER(E114),E114&gt;=参数!$B$3,E114&lt;=参数!$B$4,E114=INT(E114),TRIM(F114)&lt;&gt;""),1,0),0)</x:f>
        <x:v>0</x:v>
      </x:c>
      <x:c r="L114" t="n">
        <x:f>IFERROR(K114*N(E114),0)</x:f>
        <x:v>0</x:v>
      </x:c>
    </x:row>
    <x:row r="115">
      <x:c r="A115" t="inlineStr">
        <x:is>
          <x:t xml:space="preserve">P07</x:t>
        </x:is>
      </x:c>
      <x:c r="B115" t="inlineStr">
        <x:is>
          <x:t xml:space="preserve">报考可行性</x:t>
        </x:is>
      </x:c>
      <x:c r="C115" t="inlineStr">
        <x:is>
          <x:t xml:space="preserve">招生路径</x:t>
        </x:is>
      </x:c>
      <x:c r="D115" t="inlineStr">
        <x:is>
          <x:t xml:space="preserve">名额口径可靠性</x:t>
        </x:is>
      </x:c>
      <x:c r="G115" t="inlineStr">
        <x:is>
          <x:t xml:space="preserve">未知</x:t>
        </x:is>
      </x:c>
      <x:c r="I115" t="inlineStr">
        <x:is>
          <x:t xml:space="preserve">待逐条核验；不自动填分</x:t>
        </x:is>
      </x:c>
      <x:c r="J115" t="n">
        <x:f>'三级指标树'!G7</x:f>
        <x:v>0.066</x:v>
      </x:c>
      <x:c r="K115" t="n">
        <x:f>IFERROR(IF(AND(ISNUMBER(E115),E115&gt;=参数!$B$3,E115&lt;=参数!$B$4,E115=INT(E115),TRIM(F115)&lt;&gt;""),1,0),0)</x:f>
        <x:v>0</x:v>
      </x:c>
      <x:c r="L115" t="n">
        <x:f>IFERROR(K115*N(E115),0)</x:f>
        <x:v>0</x:v>
      </x:c>
    </x:row>
    <x:row r="116">
      <x:c r="A116" t="inlineStr">
        <x:is>
          <x:t xml:space="preserve">P07</x:t>
        </x:is>
      </x:c>
      <x:c r="B116" t="inlineStr">
        <x:is>
          <x:t xml:space="preserve">报考可行性</x:t>
        </x:is>
      </x:c>
      <x:c r="C116" t="inlineStr">
        <x:is>
          <x:t xml:space="preserve">考试风险</x:t>
        </x:is>
      </x:c>
      <x:c r="D116" t="inlineStr">
        <x:is>
          <x:t xml:space="preserve">初复试科目稳定性</x:t>
        </x:is>
      </x:c>
      <x:c r="G116" t="inlineStr">
        <x:is>
          <x:t xml:space="preserve">未知</x:t>
        </x:is>
      </x:c>
      <x:c r="I116" t="inlineStr">
        <x:is>
          <x:t xml:space="preserve">待逐条核验；不自动填分</x:t>
        </x:is>
      </x:c>
      <x:c r="J116" t="n">
        <x:f>'三级指标树'!G8</x:f>
        <x:v>0.07425</x:v>
      </x:c>
      <x:c r="K116" t="n">
        <x:f>IFERROR(IF(AND(ISNUMBER(E116),E116&gt;=参数!$B$3,E116&lt;=参数!$B$4,E116=INT(E116),TRIM(F116)&lt;&gt;""),1,0),0)</x:f>
        <x:v>0</x:v>
      </x:c>
      <x:c r="L116" t="n">
        <x:f>IFERROR(K116*N(E116),0)</x:f>
        <x:v>0</x:v>
      </x:c>
    </x:row>
    <x:row r="117">
      <x:c r="A117" t="inlineStr">
        <x:is>
          <x:t xml:space="preserve">P07</x:t>
        </x:is>
      </x:c>
      <x:c r="B117" t="inlineStr">
        <x:is>
          <x:t xml:space="preserve">报考可行性</x:t>
        </x:is>
      </x:c>
      <x:c r="C117" t="inlineStr">
        <x:is>
          <x:t xml:space="preserve">考试风险</x:t>
        </x:is>
      </x:c>
      <x:c r="D117" t="inlineStr">
        <x:is>
          <x:t xml:space="preserve">复试规则可预期性</x:t>
        </x:is>
      </x:c>
      <x:c r="G117" t="inlineStr">
        <x:is>
          <x:t xml:space="preserve">未知</x:t>
        </x:is>
      </x:c>
      <x:c r="I117" t="inlineStr">
        <x:is>
          <x:t xml:space="preserve">待逐条核验；不自动填分</x:t>
        </x:is>
      </x:c>
      <x:c r="J117" t="n">
        <x:f>'三级指标树'!G9</x:f>
        <x:v>0.06075</x:v>
      </x:c>
      <x:c r="K117" t="n">
        <x:f>IFERROR(IF(AND(ISNUMBER(E117),E117&gt;=参数!$B$3,E117&lt;=参数!$B$4,E117=INT(E117),TRIM(F117)&lt;&gt;""),1,0),0)</x:f>
        <x:v>0</x:v>
      </x:c>
      <x:c r="L117" t="n">
        <x:f>IFERROR(K117*N(E117),0)</x:f>
        <x:v>0</x:v>
      </x:c>
    </x:row>
    <x:row r="118">
      <x:c r="A118" t="inlineStr">
        <x:is>
          <x:t xml:space="preserve">P07</x:t>
        </x:is>
      </x:c>
      <x:c r="B118" t="inlineStr">
        <x:is>
          <x:t xml:space="preserve">研究培养</x:t>
        </x:is>
      </x:c>
      <x:c r="C118" t="inlineStr">
        <x:is>
          <x:t xml:space="preserve">科研匹配</x:t>
        </x:is>
      </x:c>
      <x:c r="D118" t="inlineStr">
        <x:is>
          <x:t xml:space="preserve">研究方向相关性</x:t>
        </x:is>
      </x:c>
      <x:c r="G118" t="inlineStr">
        <x:is>
          <x:t xml:space="preserve">未知</x:t>
        </x:is>
      </x:c>
      <x:c r="I118" t="inlineStr">
        <x:is>
          <x:t xml:space="preserve">待逐条核验；不自动填分</x:t>
        </x:is>
      </x:c>
      <x:c r="J118" t="n">
        <x:f>'三级指标树'!G10</x:f>
        <x:v>0.0605</x:v>
      </x:c>
      <x:c r="K118" t="n">
        <x:f>IFERROR(IF(AND(ISNUMBER(E118),E118&gt;=参数!$B$3,E118&lt;=参数!$B$4,E118=INT(E118),TRIM(F118)&lt;&gt;""),1,0),0)</x:f>
        <x:v>0</x:v>
      </x:c>
      <x:c r="L118" t="n">
        <x:f>IFERROR(K118*N(E118),0)</x:f>
        <x:v>0</x:v>
      </x:c>
    </x:row>
    <x:row r="119">
      <x:c r="A119" t="inlineStr">
        <x:is>
          <x:t xml:space="preserve">P07</x:t>
        </x:is>
      </x:c>
      <x:c r="B119" t="inlineStr">
        <x:is>
          <x:t xml:space="preserve">研究培养</x:t>
        </x:is>
      </x:c>
      <x:c r="C119" t="inlineStr">
        <x:is>
          <x:t xml:space="preserve">科研匹配</x:t>
        </x:is>
      </x:c>
      <x:c r="D119" t="inlineStr">
        <x:is>
          <x:t xml:space="preserve">导师招生路径证据</x:t>
        </x:is>
      </x:c>
      <x:c r="G119" t="inlineStr">
        <x:is>
          <x:t xml:space="preserve">未知</x:t>
        </x:is>
      </x:c>
      <x:c r="I119" t="inlineStr">
        <x:is>
          <x:t xml:space="preserve">待逐条核验；不自动填分</x:t>
        </x:is>
      </x:c>
      <x:c r="J119" t="n">
        <x:f>'三级指标树'!G11</x:f>
        <x:v>0.0495</x:v>
      </x:c>
      <x:c r="K119" t="n">
        <x:f>IFERROR(IF(AND(ISNUMBER(E119),E119&gt;=参数!$B$3,E119&lt;=参数!$B$4,E119=INT(E119),TRIM(F119)&lt;&gt;""),1,0),0)</x:f>
        <x:v>0</x:v>
      </x:c>
      <x:c r="L119" t="n">
        <x:f>IFERROR(K119*N(E119),0)</x:f>
        <x:v>0</x:v>
      </x:c>
    </x:row>
    <x:row r="120">
      <x:c r="A120" t="inlineStr">
        <x:is>
          <x:t xml:space="preserve">P07</x:t>
        </x:is>
      </x:c>
      <x:c r="B120" t="inlineStr">
        <x:is>
          <x:t xml:space="preserve">研究培养</x:t>
        </x:is>
      </x:c>
      <x:c r="C120" t="inlineStr">
        <x:is>
          <x:t xml:space="preserve">培养可进入</x:t>
        </x:is>
      </x:c>
      <x:c r="D120" t="inlineStr">
        <x:is>
          <x:t xml:space="preserve">实践机制适用性</x:t>
        </x:is>
      </x:c>
      <x:c r="G120" t="inlineStr">
        <x:is>
          <x:t xml:space="preserve">未知</x:t>
        </x:is>
      </x:c>
      <x:c r="I120" t="inlineStr">
        <x:is>
          <x:t xml:space="preserve">待逐条核验；不自动填分</x:t>
        </x:is>
      </x:c>
      <x:c r="J120" t="n">
        <x:f>'三级指标树'!G12</x:f>
        <x:v>0.045</x:v>
      </x:c>
      <x:c r="K120" t="n">
        <x:f>IFERROR(IF(AND(ISNUMBER(E120),E120&gt;=参数!$B$3,E120&lt;=参数!$B$4,E120=INT(E120),TRIM(F120)&lt;&gt;""),1,0),0)</x:f>
        <x:v>0</x:v>
      </x:c>
      <x:c r="L120" t="n">
        <x:f>IFERROR(K120*N(E120),0)</x:f>
        <x:v>0</x:v>
      </x:c>
    </x:row>
    <x:row r="121">
      <x:c r="A121" t="inlineStr">
        <x:is>
          <x:t xml:space="preserve">P07</x:t>
        </x:is>
      </x:c>
      <x:c r="B121" t="inlineStr">
        <x:is>
          <x:t xml:space="preserve">研究培养</x:t>
        </x:is>
      </x:c>
      <x:c r="C121" t="inlineStr">
        <x:is>
          <x:t xml:space="preserve">培养可进入</x:t>
        </x:is>
      </x:c>
      <x:c r="D121" t="inlineStr">
        <x:is>
          <x:t xml:space="preserve">平台资源可进入性</x:t>
        </x:is>
      </x:c>
      <x:c r="G121" t="inlineStr">
        <x:is>
          <x:t xml:space="preserve">未知</x:t>
        </x:is>
      </x:c>
      <x:c r="I121" t="inlineStr">
        <x:is>
          <x:t xml:space="preserve">待逐条核验；不自动填分</x:t>
        </x:is>
      </x:c>
      <x:c r="J121" t="n">
        <x:f>'三级指标树'!G13</x:f>
        <x:v>0.045</x:v>
      </x:c>
      <x:c r="K121" t="n">
        <x:f>IFERROR(IF(AND(ISNUMBER(E121),E121&gt;=参数!$B$3,E121&lt;=参数!$B$4,E121=INT(E121),TRIM(F121)&lt;&gt;""),1,0),0)</x:f>
        <x:v>0</x:v>
      </x:c>
      <x:c r="L121" t="n">
        <x:f>IFERROR(K121*N(E121),0)</x:f>
        <x:v>0</x:v>
      </x:c>
    </x:row>
    <x:row r="122">
      <x:c r="A122" t="inlineStr">
        <x:is>
          <x:t xml:space="preserve">P07</x:t>
        </x:is>
      </x:c>
      <x:c r="B122" t="inlineStr">
        <x:is>
          <x:t xml:space="preserve">地域生态</x:t>
        </x:is>
      </x:c>
      <x:c r="C122" t="inlineStr">
        <x:is>
          <x:t xml:space="preserve">产业机会</x:t>
        </x:is>
      </x:c>
      <x:c r="D122" t="inlineStr">
        <x:is>
          <x:t xml:space="preserve">城市AI岗位生态</x:t>
        </x:is>
      </x:c>
      <x:c r="G122" t="inlineStr">
        <x:is>
          <x:t xml:space="preserve">未知</x:t>
        </x:is>
      </x:c>
      <x:c r="I122" t="inlineStr">
        <x:is>
          <x:t xml:space="preserve">待逐条核验；不自动填分</x:t>
        </x:is>
      </x:c>
      <x:c r="J122" t="n">
        <x:f>'三级指标树'!G14</x:f>
        <x:v>0.04225</x:v>
      </x:c>
      <x:c r="K122" t="n">
        <x:f>IFERROR(IF(AND(ISNUMBER(E122),E122&gt;=参数!$B$3,E122&lt;=参数!$B$4,E122=INT(E122),TRIM(F122)&lt;&gt;""),1,0),0)</x:f>
        <x:v>0</x:v>
      </x:c>
      <x:c r="L122" t="n">
        <x:f>IFERROR(K122*N(E122),0)</x:f>
        <x:v>0</x:v>
      </x:c>
    </x:row>
    <x:row r="123">
      <x:c r="A123" t="inlineStr">
        <x:is>
          <x:t xml:space="preserve">P07</x:t>
        </x:is>
      </x:c>
      <x:c r="B123" t="inlineStr">
        <x:is>
          <x:t xml:space="preserve">地域生态</x:t>
        </x:is>
      </x:c>
      <x:c r="C123" t="inlineStr">
        <x:is>
          <x:t xml:space="preserve">产业机会</x:t>
        </x:is>
      </x:c>
      <x:c r="D123" t="inlineStr">
        <x:is>
          <x:t xml:space="preserve">实习合作半径</x:t>
        </x:is>
      </x:c>
      <x:c r="G123" t="inlineStr">
        <x:is>
          <x:t xml:space="preserve">未知</x:t>
        </x:is>
      </x:c>
      <x:c r="I123" t="inlineStr">
        <x:is>
          <x:t xml:space="preserve">待逐条核验；不自动填分</x:t>
        </x:is>
      </x:c>
      <x:c r="J123" t="n">
        <x:f>'三级指标树'!G15</x:f>
        <x:v>0.02275</x:v>
      </x:c>
      <x:c r="K123" t="n">
        <x:f>IFERROR(IF(AND(ISNUMBER(E123),E123&gt;=参数!$B$3,E123&lt;=参数!$B$4,E123=INT(E123),TRIM(F123)&lt;&gt;""),1,0),0)</x:f>
        <x:v>0</x:v>
      </x:c>
      <x:c r="L123" t="n">
        <x:f>IFERROR(K123*N(E123),0)</x:f>
        <x:v>0</x:v>
      </x:c>
    </x:row>
    <x:row r="124">
      <x:c r="A124" t="inlineStr">
        <x:is>
          <x:t xml:space="preserve">P07</x:t>
        </x:is>
      </x:c>
      <x:c r="B124" t="inlineStr">
        <x:is>
          <x:t xml:space="preserve">地域生态</x:t>
        </x:is>
      </x:c>
      <x:c r="C124" t="inlineStr">
        <x:is>
          <x:t xml:space="preserve">生活适配</x:t>
        </x:is>
      </x:c>
      <x:c r="D124" t="inlineStr">
        <x:is>
          <x:t xml:space="preserve">地域与气候</x:t>
        </x:is>
      </x:c>
      <x:c r="G124" t="inlineStr">
        <x:is>
          <x:t xml:space="preserve">未知</x:t>
        </x:is>
      </x:c>
      <x:c r="I124" t="inlineStr">
        <x:is>
          <x:t xml:space="preserve">待逐条核验；不自动填分</x:t>
        </x:is>
      </x:c>
      <x:c r="J124" t="n">
        <x:f>'三级指标树'!G16</x:f>
        <x:v>0.035</x:v>
      </x:c>
      <x:c r="K124" t="n">
        <x:f>IFERROR(IF(AND(ISNUMBER(E124),E124&gt;=参数!$B$3,E124&lt;=参数!$B$4,E124=INT(E124),TRIM(F124)&lt;&gt;""),1,0),0)</x:f>
        <x:v>0</x:v>
      </x:c>
      <x:c r="L124" t="n">
        <x:f>IFERROR(K124*N(E124),0)</x:f>
        <x:v>0</x:v>
      </x:c>
    </x:row>
    <x:row r="125">
      <x:c r="A125" t="inlineStr">
        <x:is>
          <x:t xml:space="preserve">P07</x:t>
        </x:is>
      </x:c>
      <x:c r="B125" t="inlineStr">
        <x:is>
          <x:t xml:space="preserve">成本安排</x:t>
        </x:is>
      </x:c>
      <x:c r="C125" t="inlineStr">
        <x:is>
          <x:t xml:space="preserve">经济成本</x:t>
        </x:is>
      </x:c>
      <x:c r="D125" t="inlineStr">
        <x:is>
          <x:t xml:space="preserve">学费及住宿</x:t>
        </x:is>
      </x:c>
      <x:c r="G125" t="inlineStr">
        <x:is>
          <x:t xml:space="preserve">未知</x:t>
        </x:is>
      </x:c>
      <x:c r="I125" t="inlineStr">
        <x:is>
          <x:t xml:space="preserve">待逐条核验；不自动填分</x:t>
        </x:is>
      </x:c>
      <x:c r="J125" t="n">
        <x:f>'三级指标树'!G17</x:f>
        <x:v>0.015125</x:v>
      </x:c>
      <x:c r="K125" t="n">
        <x:f>IFERROR(IF(AND(ISNUMBER(E125),E125&gt;=参数!$B$3,E125&lt;=参数!$B$4,E125=INT(E125),TRIM(F125)&lt;&gt;""),1,0),0)</x:f>
        <x:v>0</x:v>
      </x:c>
      <x:c r="L125" t="n">
        <x:f>IFERROR(K125*N(E125),0)</x:f>
        <x:v>0</x:v>
      </x:c>
    </x:row>
    <x:row r="126">
      <x:c r="A126" t="inlineStr">
        <x:is>
          <x:t xml:space="preserve">P07</x:t>
        </x:is>
      </x:c>
      <x:c r="B126" t="inlineStr">
        <x:is>
          <x:t xml:space="preserve">成本安排</x:t>
        </x:is>
      </x:c>
      <x:c r="C126" t="inlineStr">
        <x:is>
          <x:t xml:space="preserve">经济成本</x:t>
        </x:is>
      </x:c>
      <x:c r="D126" t="inlineStr">
        <x:is>
          <x:t xml:space="preserve">异地与额外支出</x:t>
        </x:is>
      </x:c>
      <x:c r="G126" t="inlineStr">
        <x:is>
          <x:t xml:space="preserve">未知</x:t>
        </x:is>
      </x:c>
      <x:c r="I126" t="inlineStr">
        <x:is>
          <x:t xml:space="preserve">待逐条核验；不自动填分</x:t>
        </x:is>
      </x:c>
      <x:c r="J126" t="n">
        <x:f>'三级指标树'!G18</x:f>
        <x:v>0.012375</x:v>
      </x:c>
      <x:c r="K126" t="n">
        <x:f>IFERROR(IF(AND(ISNUMBER(E126),E126&gt;=参数!$B$3,E126&lt;=参数!$B$4,E126=INT(E126),TRIM(F126)&lt;&gt;""),1,0),0)</x:f>
        <x:v>0</x:v>
      </x:c>
      <x:c r="L126" t="n">
        <x:f>IFERROR(K126*N(E126),0)</x:f>
        <x:v>0</x:v>
      </x:c>
    </x:row>
    <x:row r="127">
      <x:c r="A127" t="inlineStr">
        <x:is>
          <x:t xml:space="preserve">P07</x:t>
        </x:is>
      </x:c>
      <x:c r="B127" t="inlineStr">
        <x:is>
          <x:t xml:space="preserve">成本安排</x:t>
        </x:is>
      </x:c>
      <x:c r="C127" t="inlineStr">
        <x:is>
          <x:t xml:space="preserve">培养安排</x:t>
        </x:is>
      </x:c>
      <x:c r="D127" t="inlineStr">
        <x:is>
          <x:t xml:space="preserve">学制与企业实践</x:t>
        </x:is>
      </x:c>
      <x:c r="G127" t="inlineStr">
        <x:is>
          <x:t xml:space="preserve">未知</x:t>
        </x:is>
      </x:c>
      <x:c r="I127" t="inlineStr">
        <x:is>
          <x:t xml:space="preserve">待逐条核验；不自动填分</x:t>
        </x:is>
      </x:c>
      <x:c r="J127" t="n">
        <x:f>'三级指标树'!G19</x:f>
        <x:v>0.0225</x:v>
      </x:c>
      <x:c r="K127" t="n">
        <x:f>IFERROR(IF(AND(ISNUMBER(E127),E127&gt;=参数!$B$3,E127&lt;=参数!$B$4,E127=INT(E127),TRIM(F127)&lt;&gt;""),1,0),0)</x:f>
        <x:v>0</x:v>
      </x:c>
      <x:c r="L127" t="n">
        <x:f>IFERROR(K127*N(E127),0)</x:f>
        <x:v>0</x:v>
      </x:c>
    </x:row>
    <x:row r="128">
      <x:c r="A128" t="inlineStr">
        <x:is>
          <x:t xml:space="preserve">P08</x:t>
        </x:is>
      </x:c>
      <x:c r="B128" t="inlineStr">
        <x:is>
          <x:t xml:space="preserve">职业发展</x:t>
        </x:is>
      </x:c>
      <x:c r="C128" t="inlineStr">
        <x:is>
          <x:t xml:space="preserve">AI工程就业</x:t>
        </x:is>
      </x:c>
      <x:c r="D128" t="inlineStr">
        <x:is>
          <x:t xml:space="preserve">岗位与实习机会</x:t>
        </x:is>
      </x:c>
      <x:c r="G128" t="inlineStr">
        <x:is>
          <x:t xml:space="preserve">未知</x:t>
        </x:is>
      </x:c>
      <x:c r="I128" t="inlineStr">
        <x:is>
          <x:t xml:space="preserve">待逐条核验；不自动填分</x:t>
        </x:is>
      </x:c>
      <x:c r="J128" t="n">
        <x:f>'三级指标树'!G2</x:f>
        <x:v>0.105</x:v>
      </x:c>
      <x:c r="K128" t="n">
        <x:f>IFERROR(IF(AND(ISNUMBER(E128),E128&gt;=参数!$B$3,E128&lt;=参数!$B$4,E128=INT(E128),TRIM(F128)&lt;&gt;""),1,0),0)</x:f>
        <x:v>0</x:v>
      </x:c>
      <x:c r="L128" t="n">
        <x:f>IFERROR(K128*N(E128),0)</x:f>
        <x:v>0</x:v>
      </x:c>
    </x:row>
    <x:row r="129">
      <x:c r="A129" t="inlineStr">
        <x:is>
          <x:t xml:space="preserve">P08</x:t>
        </x:is>
      </x:c>
      <x:c r="B129" t="inlineStr">
        <x:is>
          <x:t xml:space="preserve">职业发展</x:t>
        </x:is>
      </x:c>
      <x:c r="C129" t="inlineStr">
        <x:is>
          <x:t xml:space="preserve">AI工程就业</x:t>
        </x:is>
      </x:c>
      <x:c r="D129" t="inlineStr">
        <x:is>
          <x:t xml:space="preserve">产业合作可参与性</x:t>
        </x:is>
      </x:c>
      <x:c r="G129" t="inlineStr">
        <x:is>
          <x:t xml:space="preserve">未知</x:t>
        </x:is>
      </x:c>
      <x:c r="I129" t="inlineStr">
        <x:is>
          <x:t xml:space="preserve">待逐条核验；不自动填分</x:t>
        </x:is>
      </x:c>
      <x:c r="J129" t="n">
        <x:f>'三级指标树'!G3</x:f>
        <x:v>0.07</x:v>
      </x:c>
      <x:c r="K129" t="n">
        <x:f>IFERROR(IF(AND(ISNUMBER(E129),E129&gt;=参数!$B$3,E129&lt;=参数!$B$4,E129=INT(E129),TRIM(F129)&lt;&gt;""),1,0),0)</x:f>
        <x:v>0</x:v>
      </x:c>
      <x:c r="L129" t="n">
        <x:f>IFERROR(K129*N(E129),0)</x:f>
        <x:v>0</x:v>
      </x:c>
    </x:row>
    <x:row r="130">
      <x:c r="A130" t="inlineStr">
        <x:is>
          <x:t xml:space="preserve">P08</x:t>
        </x:is>
      </x:c>
      <x:c r="B130" t="inlineStr">
        <x:is>
          <x:t xml:space="preserve">职业发展</x:t>
        </x:is>
      </x:c>
      <x:c r="C130" t="inlineStr">
        <x:is>
          <x:t xml:space="preserve">长期成长</x:t>
        </x:is>
      </x:c>
      <x:c r="D130" t="inlineStr">
        <x:is>
          <x:t xml:space="preserve">Agent/LLM能力积累</x:t>
        </x:is>
      </x:c>
      <x:c r="G130" t="inlineStr">
        <x:is>
          <x:t xml:space="preserve">未知</x:t>
        </x:is>
      </x:c>
      <x:c r="I130" t="inlineStr">
        <x:is>
          <x:t xml:space="preserve">待逐条核验；不自动填分</x:t>
        </x:is>
      </x:c>
      <x:c r="J130" t="n">
        <x:f>'三级指标树'!G4</x:f>
        <x:v>0.105</x:v>
      </x:c>
      <x:c r="K130" t="n">
        <x:f>IFERROR(IF(AND(ISNUMBER(E130),E130&gt;=参数!$B$3,E130&lt;=参数!$B$4,E130=INT(E130),TRIM(F130)&lt;&gt;""),1,0),0)</x:f>
        <x:v>0</x:v>
      </x:c>
      <x:c r="L130" t="n">
        <x:f>IFERROR(K130*N(E130),0)</x:f>
        <x:v>0</x:v>
      </x:c>
    </x:row>
    <x:row r="131">
      <x:c r="A131" t="inlineStr">
        <x:is>
          <x:t xml:space="preserve">P08</x:t>
        </x:is>
      </x:c>
      <x:c r="B131" t="inlineStr">
        <x:is>
          <x:t xml:space="preserve">职业发展</x:t>
        </x:is>
      </x:c>
      <x:c r="C131" t="inlineStr">
        <x:is>
          <x:t xml:space="preserve">长期成长</x:t>
        </x:is>
      </x:c>
      <x:c r="D131" t="inlineStr">
        <x:is>
          <x:t xml:space="preserve">具身/机器人发展空间</x:t>
        </x:is>
      </x:c>
      <x:c r="G131" t="inlineStr">
        <x:is>
          <x:t xml:space="preserve">未知</x:t>
        </x:is>
      </x:c>
      <x:c r="I131" t="inlineStr">
        <x:is>
          <x:t xml:space="preserve">待逐条核验；不自动填分</x:t>
        </x:is>
      </x:c>
      <x:c r="J131" t="n">
        <x:f>'三级指标树'!G5</x:f>
        <x:v>0.07</x:v>
      </x:c>
      <x:c r="K131" t="n">
        <x:f>IFERROR(IF(AND(ISNUMBER(E131),E131&gt;=参数!$B$3,E131&lt;=参数!$B$4,E131=INT(E131),TRIM(F131)&lt;&gt;""),1,0),0)</x:f>
        <x:v>0</x:v>
      </x:c>
      <x:c r="L131" t="n">
        <x:f>IFERROR(K131*N(E131),0)</x:f>
        <x:v>0</x:v>
      </x:c>
    </x:row>
    <x:row r="132">
      <x:c r="A132" t="inlineStr">
        <x:is>
          <x:t xml:space="preserve">P08</x:t>
        </x:is>
      </x:c>
      <x:c r="B132" t="inlineStr">
        <x:is>
          <x:t xml:space="preserve">报考可行性</x:t>
        </x:is>
      </x:c>
      <x:c r="C132" t="inlineStr">
        <x:is>
          <x:t xml:space="preserve">招生路径</x:t>
        </x:is>
      </x:c>
      <x:c r="D132" t="inlineStr">
        <x:is>
          <x:t xml:space="preserve">全日制统考路径明确性</x:t>
        </x:is>
      </x:c>
      <x:c r="G132" t="inlineStr">
        <x:is>
          <x:t xml:space="preserve">未知</x:t>
        </x:is>
      </x:c>
      <x:c r="I132" t="inlineStr">
        <x:is>
          <x:t xml:space="preserve">待逐条核验；不自动填分</x:t>
        </x:is>
      </x:c>
      <x:c r="J132" t="n">
        <x:f>'三级指标树'!G6</x:f>
        <x:v>0.099</x:v>
      </x:c>
      <x:c r="K132" t="n">
        <x:f>IFERROR(IF(AND(ISNUMBER(E132),E132&gt;=参数!$B$3,E132&lt;=参数!$B$4,E132=INT(E132),TRIM(F132)&lt;&gt;""),1,0),0)</x:f>
        <x:v>0</x:v>
      </x:c>
      <x:c r="L132" t="n">
        <x:f>IFERROR(K132*N(E132),0)</x:f>
        <x:v>0</x:v>
      </x:c>
    </x:row>
    <x:row r="133">
      <x:c r="A133" t="inlineStr">
        <x:is>
          <x:t xml:space="preserve">P08</x:t>
        </x:is>
      </x:c>
      <x:c r="B133" t="inlineStr">
        <x:is>
          <x:t xml:space="preserve">报考可行性</x:t>
        </x:is>
      </x:c>
      <x:c r="C133" t="inlineStr">
        <x:is>
          <x:t xml:space="preserve">招生路径</x:t>
        </x:is>
      </x:c>
      <x:c r="D133" t="inlineStr">
        <x:is>
          <x:t xml:space="preserve">名额口径可靠性</x:t>
        </x:is>
      </x:c>
      <x:c r="G133" t="inlineStr">
        <x:is>
          <x:t xml:space="preserve">未知</x:t>
        </x:is>
      </x:c>
      <x:c r="I133" t="inlineStr">
        <x:is>
          <x:t xml:space="preserve">待逐条核验；不自动填分</x:t>
        </x:is>
      </x:c>
      <x:c r="J133" t="n">
        <x:f>'三级指标树'!G7</x:f>
        <x:v>0.066</x:v>
      </x:c>
      <x:c r="K133" t="n">
        <x:f>IFERROR(IF(AND(ISNUMBER(E133),E133&gt;=参数!$B$3,E133&lt;=参数!$B$4,E133=INT(E133),TRIM(F133)&lt;&gt;""),1,0),0)</x:f>
        <x:v>0</x:v>
      </x:c>
      <x:c r="L133" t="n">
        <x:f>IFERROR(K133*N(E133),0)</x:f>
        <x:v>0</x:v>
      </x:c>
    </x:row>
    <x:row r="134">
      <x:c r="A134" t="inlineStr">
        <x:is>
          <x:t xml:space="preserve">P08</x:t>
        </x:is>
      </x:c>
      <x:c r="B134" t="inlineStr">
        <x:is>
          <x:t xml:space="preserve">报考可行性</x:t>
        </x:is>
      </x:c>
      <x:c r="C134" t="inlineStr">
        <x:is>
          <x:t xml:space="preserve">考试风险</x:t>
        </x:is>
      </x:c>
      <x:c r="D134" t="inlineStr">
        <x:is>
          <x:t xml:space="preserve">初复试科目稳定性</x:t>
        </x:is>
      </x:c>
      <x:c r="G134" t="inlineStr">
        <x:is>
          <x:t xml:space="preserve">未知</x:t>
        </x:is>
      </x:c>
      <x:c r="I134" t="inlineStr">
        <x:is>
          <x:t xml:space="preserve">待逐条核验；不自动填分</x:t>
        </x:is>
      </x:c>
      <x:c r="J134" t="n">
        <x:f>'三级指标树'!G8</x:f>
        <x:v>0.07425</x:v>
      </x:c>
      <x:c r="K134" t="n">
        <x:f>IFERROR(IF(AND(ISNUMBER(E134),E134&gt;=参数!$B$3,E134&lt;=参数!$B$4,E134=INT(E134),TRIM(F134)&lt;&gt;""),1,0),0)</x:f>
        <x:v>0</x:v>
      </x:c>
      <x:c r="L134" t="n">
        <x:f>IFERROR(K134*N(E134),0)</x:f>
        <x:v>0</x:v>
      </x:c>
    </x:row>
    <x:row r="135">
      <x:c r="A135" t="inlineStr">
        <x:is>
          <x:t xml:space="preserve">P08</x:t>
        </x:is>
      </x:c>
      <x:c r="B135" t="inlineStr">
        <x:is>
          <x:t xml:space="preserve">报考可行性</x:t>
        </x:is>
      </x:c>
      <x:c r="C135" t="inlineStr">
        <x:is>
          <x:t xml:space="preserve">考试风险</x:t>
        </x:is>
      </x:c>
      <x:c r="D135" t="inlineStr">
        <x:is>
          <x:t xml:space="preserve">复试规则可预期性</x:t>
        </x:is>
      </x:c>
      <x:c r="G135" t="inlineStr">
        <x:is>
          <x:t xml:space="preserve">未知</x:t>
        </x:is>
      </x:c>
      <x:c r="I135" t="inlineStr">
        <x:is>
          <x:t xml:space="preserve">待逐条核验；不自动填分</x:t>
        </x:is>
      </x:c>
      <x:c r="J135" t="n">
        <x:f>'三级指标树'!G9</x:f>
        <x:v>0.06075</x:v>
      </x:c>
      <x:c r="K135" t="n">
        <x:f>IFERROR(IF(AND(ISNUMBER(E135),E135&gt;=参数!$B$3,E135&lt;=参数!$B$4,E135=INT(E135),TRIM(F135)&lt;&gt;""),1,0),0)</x:f>
        <x:v>0</x:v>
      </x:c>
      <x:c r="L135" t="n">
        <x:f>IFERROR(K135*N(E135),0)</x:f>
        <x:v>0</x:v>
      </x:c>
    </x:row>
    <x:row r="136">
      <x:c r="A136" t="inlineStr">
        <x:is>
          <x:t xml:space="preserve">P08</x:t>
        </x:is>
      </x:c>
      <x:c r="B136" t="inlineStr">
        <x:is>
          <x:t xml:space="preserve">研究培养</x:t>
        </x:is>
      </x:c>
      <x:c r="C136" t="inlineStr">
        <x:is>
          <x:t xml:space="preserve">科研匹配</x:t>
        </x:is>
      </x:c>
      <x:c r="D136" t="inlineStr">
        <x:is>
          <x:t xml:space="preserve">研究方向相关性</x:t>
        </x:is>
      </x:c>
      <x:c r="G136" t="inlineStr">
        <x:is>
          <x:t xml:space="preserve">未知</x:t>
        </x:is>
      </x:c>
      <x:c r="I136" t="inlineStr">
        <x:is>
          <x:t xml:space="preserve">待逐条核验；不自动填分</x:t>
        </x:is>
      </x:c>
      <x:c r="J136" t="n">
        <x:f>'三级指标树'!G10</x:f>
        <x:v>0.0605</x:v>
      </x:c>
      <x:c r="K136" t="n">
        <x:f>IFERROR(IF(AND(ISNUMBER(E136),E136&gt;=参数!$B$3,E136&lt;=参数!$B$4,E136=INT(E136),TRIM(F136)&lt;&gt;""),1,0),0)</x:f>
        <x:v>0</x:v>
      </x:c>
      <x:c r="L136" t="n">
        <x:f>IFERROR(K136*N(E136),0)</x:f>
        <x:v>0</x:v>
      </x:c>
    </x:row>
    <x:row r="137">
      <x:c r="A137" t="inlineStr">
        <x:is>
          <x:t xml:space="preserve">P08</x:t>
        </x:is>
      </x:c>
      <x:c r="B137" t="inlineStr">
        <x:is>
          <x:t xml:space="preserve">研究培养</x:t>
        </x:is>
      </x:c>
      <x:c r="C137" t="inlineStr">
        <x:is>
          <x:t xml:space="preserve">科研匹配</x:t>
        </x:is>
      </x:c>
      <x:c r="D137" t="inlineStr">
        <x:is>
          <x:t xml:space="preserve">导师招生路径证据</x:t>
        </x:is>
      </x:c>
      <x:c r="G137" t="inlineStr">
        <x:is>
          <x:t xml:space="preserve">未知</x:t>
        </x:is>
      </x:c>
      <x:c r="I137" t="inlineStr">
        <x:is>
          <x:t xml:space="preserve">待逐条核验；不自动填分</x:t>
        </x:is>
      </x:c>
      <x:c r="J137" t="n">
        <x:f>'三级指标树'!G11</x:f>
        <x:v>0.0495</x:v>
      </x:c>
      <x:c r="K137" t="n">
        <x:f>IFERROR(IF(AND(ISNUMBER(E137),E137&gt;=参数!$B$3,E137&lt;=参数!$B$4,E137=INT(E137),TRIM(F137)&lt;&gt;""),1,0),0)</x:f>
        <x:v>0</x:v>
      </x:c>
      <x:c r="L137" t="n">
        <x:f>IFERROR(K137*N(E137),0)</x:f>
        <x:v>0</x:v>
      </x:c>
    </x:row>
    <x:row r="138">
      <x:c r="A138" t="inlineStr">
        <x:is>
          <x:t xml:space="preserve">P08</x:t>
        </x:is>
      </x:c>
      <x:c r="B138" t="inlineStr">
        <x:is>
          <x:t xml:space="preserve">研究培养</x:t>
        </x:is>
      </x:c>
      <x:c r="C138" t="inlineStr">
        <x:is>
          <x:t xml:space="preserve">培养可进入</x:t>
        </x:is>
      </x:c>
      <x:c r="D138" t="inlineStr">
        <x:is>
          <x:t xml:space="preserve">实践机制适用性</x:t>
        </x:is>
      </x:c>
      <x:c r="G138" t="inlineStr">
        <x:is>
          <x:t xml:space="preserve">未知</x:t>
        </x:is>
      </x:c>
      <x:c r="I138" t="inlineStr">
        <x:is>
          <x:t xml:space="preserve">待逐条核验；不自动填分</x:t>
        </x:is>
      </x:c>
      <x:c r="J138" t="n">
        <x:f>'三级指标树'!G12</x:f>
        <x:v>0.045</x:v>
      </x:c>
      <x:c r="K138" t="n">
        <x:f>IFERROR(IF(AND(ISNUMBER(E138),E138&gt;=参数!$B$3,E138&lt;=参数!$B$4,E138=INT(E138),TRIM(F138)&lt;&gt;""),1,0),0)</x:f>
        <x:v>0</x:v>
      </x:c>
      <x:c r="L138" t="n">
        <x:f>IFERROR(K138*N(E138),0)</x:f>
        <x:v>0</x:v>
      </x:c>
    </x:row>
    <x:row r="139">
      <x:c r="A139" t="inlineStr">
        <x:is>
          <x:t xml:space="preserve">P08</x:t>
        </x:is>
      </x:c>
      <x:c r="B139" t="inlineStr">
        <x:is>
          <x:t xml:space="preserve">研究培养</x:t>
        </x:is>
      </x:c>
      <x:c r="C139" t="inlineStr">
        <x:is>
          <x:t xml:space="preserve">培养可进入</x:t>
        </x:is>
      </x:c>
      <x:c r="D139" t="inlineStr">
        <x:is>
          <x:t xml:space="preserve">平台资源可进入性</x:t>
        </x:is>
      </x:c>
      <x:c r="G139" t="inlineStr">
        <x:is>
          <x:t xml:space="preserve">未知</x:t>
        </x:is>
      </x:c>
      <x:c r="I139" t="inlineStr">
        <x:is>
          <x:t xml:space="preserve">待逐条核验；不自动填分</x:t>
        </x:is>
      </x:c>
      <x:c r="J139" t="n">
        <x:f>'三级指标树'!G13</x:f>
        <x:v>0.045</x:v>
      </x:c>
      <x:c r="K139" t="n">
        <x:f>IFERROR(IF(AND(ISNUMBER(E139),E139&gt;=参数!$B$3,E139&lt;=参数!$B$4,E139=INT(E139),TRIM(F139)&lt;&gt;""),1,0),0)</x:f>
        <x:v>0</x:v>
      </x:c>
      <x:c r="L139" t="n">
        <x:f>IFERROR(K139*N(E139),0)</x:f>
        <x:v>0</x:v>
      </x:c>
    </x:row>
    <x:row r="140">
      <x:c r="A140" t="inlineStr">
        <x:is>
          <x:t xml:space="preserve">P08</x:t>
        </x:is>
      </x:c>
      <x:c r="B140" t="inlineStr">
        <x:is>
          <x:t xml:space="preserve">地域生态</x:t>
        </x:is>
      </x:c>
      <x:c r="C140" t="inlineStr">
        <x:is>
          <x:t xml:space="preserve">产业机会</x:t>
        </x:is>
      </x:c>
      <x:c r="D140" t="inlineStr">
        <x:is>
          <x:t xml:space="preserve">城市AI岗位生态</x:t>
        </x:is>
      </x:c>
      <x:c r="G140" t="inlineStr">
        <x:is>
          <x:t xml:space="preserve">未知</x:t>
        </x:is>
      </x:c>
      <x:c r="I140" t="inlineStr">
        <x:is>
          <x:t xml:space="preserve">待逐条核验；不自动填分</x:t>
        </x:is>
      </x:c>
      <x:c r="J140" t="n">
        <x:f>'三级指标树'!G14</x:f>
        <x:v>0.04225</x:v>
      </x:c>
      <x:c r="K140" t="n">
        <x:f>IFERROR(IF(AND(ISNUMBER(E140),E140&gt;=参数!$B$3,E140&lt;=参数!$B$4,E140=INT(E140),TRIM(F140)&lt;&gt;""),1,0),0)</x:f>
        <x:v>0</x:v>
      </x:c>
      <x:c r="L140" t="n">
        <x:f>IFERROR(K140*N(E140),0)</x:f>
        <x:v>0</x:v>
      </x:c>
    </x:row>
    <x:row r="141">
      <x:c r="A141" t="inlineStr">
        <x:is>
          <x:t xml:space="preserve">P08</x:t>
        </x:is>
      </x:c>
      <x:c r="B141" t="inlineStr">
        <x:is>
          <x:t xml:space="preserve">地域生态</x:t>
        </x:is>
      </x:c>
      <x:c r="C141" t="inlineStr">
        <x:is>
          <x:t xml:space="preserve">产业机会</x:t>
        </x:is>
      </x:c>
      <x:c r="D141" t="inlineStr">
        <x:is>
          <x:t xml:space="preserve">实习合作半径</x:t>
        </x:is>
      </x:c>
      <x:c r="G141" t="inlineStr">
        <x:is>
          <x:t xml:space="preserve">未知</x:t>
        </x:is>
      </x:c>
      <x:c r="I141" t="inlineStr">
        <x:is>
          <x:t xml:space="preserve">待逐条核验；不自动填分</x:t>
        </x:is>
      </x:c>
      <x:c r="J141" t="n">
        <x:f>'三级指标树'!G15</x:f>
        <x:v>0.02275</x:v>
      </x:c>
      <x:c r="K141" t="n">
        <x:f>IFERROR(IF(AND(ISNUMBER(E141),E141&gt;=参数!$B$3,E141&lt;=参数!$B$4,E141=INT(E141),TRIM(F141)&lt;&gt;""),1,0),0)</x:f>
        <x:v>0</x:v>
      </x:c>
      <x:c r="L141" t="n">
        <x:f>IFERROR(K141*N(E141),0)</x:f>
        <x:v>0</x:v>
      </x:c>
    </x:row>
    <x:row r="142">
      <x:c r="A142" t="inlineStr">
        <x:is>
          <x:t xml:space="preserve">P08</x:t>
        </x:is>
      </x:c>
      <x:c r="B142" t="inlineStr">
        <x:is>
          <x:t xml:space="preserve">地域生态</x:t>
        </x:is>
      </x:c>
      <x:c r="C142" t="inlineStr">
        <x:is>
          <x:t xml:space="preserve">生活适配</x:t>
        </x:is>
      </x:c>
      <x:c r="D142" t="inlineStr">
        <x:is>
          <x:t xml:space="preserve">地域与气候</x:t>
        </x:is>
      </x:c>
      <x:c r="G142" t="inlineStr">
        <x:is>
          <x:t xml:space="preserve">未知</x:t>
        </x:is>
      </x:c>
      <x:c r="I142" t="inlineStr">
        <x:is>
          <x:t xml:space="preserve">待逐条核验；不自动填分</x:t>
        </x:is>
      </x:c>
      <x:c r="J142" t="n">
        <x:f>'三级指标树'!G16</x:f>
        <x:v>0.035</x:v>
      </x:c>
      <x:c r="K142" t="n">
        <x:f>IFERROR(IF(AND(ISNUMBER(E142),E142&gt;=参数!$B$3,E142&lt;=参数!$B$4,E142=INT(E142),TRIM(F142)&lt;&gt;""),1,0),0)</x:f>
        <x:v>0</x:v>
      </x:c>
      <x:c r="L142" t="n">
        <x:f>IFERROR(K142*N(E142),0)</x:f>
        <x:v>0</x:v>
      </x:c>
    </x:row>
    <x:row r="143">
      <x:c r="A143" t="inlineStr">
        <x:is>
          <x:t xml:space="preserve">P08</x:t>
        </x:is>
      </x:c>
      <x:c r="B143" t="inlineStr">
        <x:is>
          <x:t xml:space="preserve">成本安排</x:t>
        </x:is>
      </x:c>
      <x:c r="C143" t="inlineStr">
        <x:is>
          <x:t xml:space="preserve">经济成本</x:t>
        </x:is>
      </x:c>
      <x:c r="D143" t="inlineStr">
        <x:is>
          <x:t xml:space="preserve">学费及住宿</x:t>
        </x:is>
      </x:c>
      <x:c r="G143" t="inlineStr">
        <x:is>
          <x:t xml:space="preserve">未知</x:t>
        </x:is>
      </x:c>
      <x:c r="I143" t="inlineStr">
        <x:is>
          <x:t xml:space="preserve">待逐条核验；不自动填分</x:t>
        </x:is>
      </x:c>
      <x:c r="J143" t="n">
        <x:f>'三级指标树'!G17</x:f>
        <x:v>0.015125</x:v>
      </x:c>
      <x:c r="K143" t="n">
        <x:f>IFERROR(IF(AND(ISNUMBER(E143),E143&gt;=参数!$B$3,E143&lt;=参数!$B$4,E143=INT(E143),TRIM(F143)&lt;&gt;""),1,0),0)</x:f>
        <x:v>0</x:v>
      </x:c>
      <x:c r="L143" t="n">
        <x:f>IFERROR(K143*N(E143),0)</x:f>
        <x:v>0</x:v>
      </x:c>
    </x:row>
    <x:row r="144">
      <x:c r="A144" t="inlineStr">
        <x:is>
          <x:t xml:space="preserve">P08</x:t>
        </x:is>
      </x:c>
      <x:c r="B144" t="inlineStr">
        <x:is>
          <x:t xml:space="preserve">成本安排</x:t>
        </x:is>
      </x:c>
      <x:c r="C144" t="inlineStr">
        <x:is>
          <x:t xml:space="preserve">经济成本</x:t>
        </x:is>
      </x:c>
      <x:c r="D144" t="inlineStr">
        <x:is>
          <x:t xml:space="preserve">异地与额外支出</x:t>
        </x:is>
      </x:c>
      <x:c r="G144" t="inlineStr">
        <x:is>
          <x:t xml:space="preserve">未知</x:t>
        </x:is>
      </x:c>
      <x:c r="I144" t="inlineStr">
        <x:is>
          <x:t xml:space="preserve">待逐条核验；不自动填分</x:t>
        </x:is>
      </x:c>
      <x:c r="J144" t="n">
        <x:f>'三级指标树'!G18</x:f>
        <x:v>0.012375</x:v>
      </x:c>
      <x:c r="K144" t="n">
        <x:f>IFERROR(IF(AND(ISNUMBER(E144),E144&gt;=参数!$B$3,E144&lt;=参数!$B$4,E144=INT(E144),TRIM(F144)&lt;&gt;""),1,0),0)</x:f>
        <x:v>0</x:v>
      </x:c>
      <x:c r="L144" t="n">
        <x:f>IFERROR(K144*N(E144),0)</x:f>
        <x:v>0</x:v>
      </x:c>
    </x:row>
    <x:row r="145">
      <x:c r="A145" t="inlineStr">
        <x:is>
          <x:t xml:space="preserve">P08</x:t>
        </x:is>
      </x:c>
      <x:c r="B145" t="inlineStr">
        <x:is>
          <x:t xml:space="preserve">成本安排</x:t>
        </x:is>
      </x:c>
      <x:c r="C145" t="inlineStr">
        <x:is>
          <x:t xml:space="preserve">培养安排</x:t>
        </x:is>
      </x:c>
      <x:c r="D145" t="inlineStr">
        <x:is>
          <x:t xml:space="preserve">学制与企业实践</x:t>
        </x:is>
      </x:c>
      <x:c r="G145" t="inlineStr">
        <x:is>
          <x:t xml:space="preserve">未知</x:t>
        </x:is>
      </x:c>
      <x:c r="I145" t="inlineStr">
        <x:is>
          <x:t xml:space="preserve">待逐条核验；不自动填分</x:t>
        </x:is>
      </x:c>
      <x:c r="J145" t="n">
        <x:f>'三级指标树'!G19</x:f>
        <x:v>0.0225</x:v>
      </x:c>
      <x:c r="K145" t="n">
        <x:f>IFERROR(IF(AND(ISNUMBER(E145),E145&gt;=参数!$B$3,E145&lt;=参数!$B$4,E145=INT(E145),TRIM(F145)&lt;&gt;""),1,0),0)</x:f>
        <x:v>0</x:v>
      </x:c>
      <x:c r="L145" t="n">
        <x:f>IFERROR(K145*N(E145),0)</x:f>
        <x:v>0</x:v>
      </x:c>
    </x:row>
    <x:row r="146">
      <x:c r="A146" t="inlineStr">
        <x:is>
          <x:t xml:space="preserve">P09</x:t>
        </x:is>
      </x:c>
      <x:c r="B146" t="inlineStr">
        <x:is>
          <x:t xml:space="preserve">职业发展</x:t>
        </x:is>
      </x:c>
      <x:c r="C146" t="inlineStr">
        <x:is>
          <x:t xml:space="preserve">AI工程就业</x:t>
        </x:is>
      </x:c>
      <x:c r="D146" t="inlineStr">
        <x:is>
          <x:t xml:space="preserve">岗位与实习机会</x:t>
        </x:is>
      </x:c>
      <x:c r="G146" t="inlineStr">
        <x:is>
          <x:t xml:space="preserve">未知</x:t>
        </x:is>
      </x:c>
      <x:c r="I146" t="inlineStr">
        <x:is>
          <x:t xml:space="preserve">待逐条核验；不自动填分</x:t>
        </x:is>
      </x:c>
      <x:c r="J146" t="n">
        <x:f>'三级指标树'!G2</x:f>
        <x:v>0.105</x:v>
      </x:c>
      <x:c r="K146" t="n">
        <x:f>IFERROR(IF(AND(ISNUMBER(E146),E146&gt;=参数!$B$3,E146&lt;=参数!$B$4,E146=INT(E146),TRIM(F146)&lt;&gt;""),1,0),0)</x:f>
        <x:v>0</x:v>
      </x:c>
      <x:c r="L146" t="n">
        <x:f>IFERROR(K146*N(E146),0)</x:f>
        <x:v>0</x:v>
      </x:c>
    </x:row>
    <x:row r="147">
      <x:c r="A147" t="inlineStr">
        <x:is>
          <x:t xml:space="preserve">P09</x:t>
        </x:is>
      </x:c>
      <x:c r="B147" t="inlineStr">
        <x:is>
          <x:t xml:space="preserve">职业发展</x:t>
        </x:is>
      </x:c>
      <x:c r="C147" t="inlineStr">
        <x:is>
          <x:t xml:space="preserve">AI工程就业</x:t>
        </x:is>
      </x:c>
      <x:c r="D147" t="inlineStr">
        <x:is>
          <x:t xml:space="preserve">产业合作可参与性</x:t>
        </x:is>
      </x:c>
      <x:c r="G147" t="inlineStr">
        <x:is>
          <x:t xml:space="preserve">未知</x:t>
        </x:is>
      </x:c>
      <x:c r="I147" t="inlineStr">
        <x:is>
          <x:t xml:space="preserve">待逐条核验；不自动填分</x:t>
        </x:is>
      </x:c>
      <x:c r="J147" t="n">
        <x:f>'三级指标树'!G3</x:f>
        <x:v>0.07</x:v>
      </x:c>
      <x:c r="K147" t="n">
        <x:f>IFERROR(IF(AND(ISNUMBER(E147),E147&gt;=参数!$B$3,E147&lt;=参数!$B$4,E147=INT(E147),TRIM(F147)&lt;&gt;""),1,0),0)</x:f>
        <x:v>0</x:v>
      </x:c>
      <x:c r="L147" t="n">
        <x:f>IFERROR(K147*N(E147),0)</x:f>
        <x:v>0</x:v>
      </x:c>
    </x:row>
    <x:row r="148">
      <x:c r="A148" t="inlineStr">
        <x:is>
          <x:t xml:space="preserve">P09</x:t>
        </x:is>
      </x:c>
      <x:c r="B148" t="inlineStr">
        <x:is>
          <x:t xml:space="preserve">职业发展</x:t>
        </x:is>
      </x:c>
      <x:c r="C148" t="inlineStr">
        <x:is>
          <x:t xml:space="preserve">长期成长</x:t>
        </x:is>
      </x:c>
      <x:c r="D148" t="inlineStr">
        <x:is>
          <x:t xml:space="preserve">Agent/LLM能力积累</x:t>
        </x:is>
      </x:c>
      <x:c r="G148" t="inlineStr">
        <x:is>
          <x:t xml:space="preserve">未知</x:t>
        </x:is>
      </x:c>
      <x:c r="I148" t="inlineStr">
        <x:is>
          <x:t xml:space="preserve">待逐条核验；不自动填分</x:t>
        </x:is>
      </x:c>
      <x:c r="J148" t="n">
        <x:f>'三级指标树'!G4</x:f>
        <x:v>0.105</x:v>
      </x:c>
      <x:c r="K148" t="n">
        <x:f>IFERROR(IF(AND(ISNUMBER(E148),E148&gt;=参数!$B$3,E148&lt;=参数!$B$4,E148=INT(E148),TRIM(F148)&lt;&gt;""),1,0),0)</x:f>
        <x:v>0</x:v>
      </x:c>
      <x:c r="L148" t="n">
        <x:f>IFERROR(K148*N(E148),0)</x:f>
        <x:v>0</x:v>
      </x:c>
    </x:row>
    <x:row r="149">
      <x:c r="A149" t="inlineStr">
        <x:is>
          <x:t xml:space="preserve">P09</x:t>
        </x:is>
      </x:c>
      <x:c r="B149" t="inlineStr">
        <x:is>
          <x:t xml:space="preserve">职业发展</x:t>
        </x:is>
      </x:c>
      <x:c r="C149" t="inlineStr">
        <x:is>
          <x:t xml:space="preserve">长期成长</x:t>
        </x:is>
      </x:c>
      <x:c r="D149" t="inlineStr">
        <x:is>
          <x:t xml:space="preserve">具身/机器人发展空间</x:t>
        </x:is>
      </x:c>
      <x:c r="G149" t="inlineStr">
        <x:is>
          <x:t xml:space="preserve">未知</x:t>
        </x:is>
      </x:c>
      <x:c r="I149" t="inlineStr">
        <x:is>
          <x:t xml:space="preserve">待逐条核验；不自动填分</x:t>
        </x:is>
      </x:c>
      <x:c r="J149" t="n">
        <x:f>'三级指标树'!G5</x:f>
        <x:v>0.07</x:v>
      </x:c>
      <x:c r="K149" t="n">
        <x:f>IFERROR(IF(AND(ISNUMBER(E149),E149&gt;=参数!$B$3,E149&lt;=参数!$B$4,E149=INT(E149),TRIM(F149)&lt;&gt;""),1,0),0)</x:f>
        <x:v>0</x:v>
      </x:c>
      <x:c r="L149" t="n">
        <x:f>IFERROR(K149*N(E149),0)</x:f>
        <x:v>0</x:v>
      </x:c>
    </x:row>
    <x:row r="150">
      <x:c r="A150" t="inlineStr">
        <x:is>
          <x:t xml:space="preserve">P09</x:t>
        </x:is>
      </x:c>
      <x:c r="B150" t="inlineStr">
        <x:is>
          <x:t xml:space="preserve">报考可行性</x:t>
        </x:is>
      </x:c>
      <x:c r="C150" t="inlineStr">
        <x:is>
          <x:t xml:space="preserve">招生路径</x:t>
        </x:is>
      </x:c>
      <x:c r="D150" t="inlineStr">
        <x:is>
          <x:t xml:space="preserve">全日制统考路径明确性</x:t>
        </x:is>
      </x:c>
      <x:c r="G150" t="inlineStr">
        <x:is>
          <x:t xml:space="preserve">未知</x:t>
        </x:is>
      </x:c>
      <x:c r="I150" t="inlineStr">
        <x:is>
          <x:t xml:space="preserve">待逐条核验；不自动填分</x:t>
        </x:is>
      </x:c>
      <x:c r="J150" t="n">
        <x:f>'三级指标树'!G6</x:f>
        <x:v>0.099</x:v>
      </x:c>
      <x:c r="K150" t="n">
        <x:f>IFERROR(IF(AND(ISNUMBER(E150),E150&gt;=参数!$B$3,E150&lt;=参数!$B$4,E150=INT(E150),TRIM(F150)&lt;&gt;""),1,0),0)</x:f>
        <x:v>0</x:v>
      </x:c>
      <x:c r="L150" t="n">
        <x:f>IFERROR(K150*N(E150),0)</x:f>
        <x:v>0</x:v>
      </x:c>
    </x:row>
    <x:row r="151">
      <x:c r="A151" t="inlineStr">
        <x:is>
          <x:t xml:space="preserve">P09</x:t>
        </x:is>
      </x:c>
      <x:c r="B151" t="inlineStr">
        <x:is>
          <x:t xml:space="preserve">报考可行性</x:t>
        </x:is>
      </x:c>
      <x:c r="C151" t="inlineStr">
        <x:is>
          <x:t xml:space="preserve">招生路径</x:t>
        </x:is>
      </x:c>
      <x:c r="D151" t="inlineStr">
        <x:is>
          <x:t xml:space="preserve">名额口径可靠性</x:t>
        </x:is>
      </x:c>
      <x:c r="G151" t="inlineStr">
        <x:is>
          <x:t xml:space="preserve">未知</x:t>
        </x:is>
      </x:c>
      <x:c r="I151" t="inlineStr">
        <x:is>
          <x:t xml:space="preserve">待逐条核验；不自动填分</x:t>
        </x:is>
      </x:c>
      <x:c r="J151" t="n">
        <x:f>'三级指标树'!G7</x:f>
        <x:v>0.066</x:v>
      </x:c>
      <x:c r="K151" t="n">
        <x:f>IFERROR(IF(AND(ISNUMBER(E151),E151&gt;=参数!$B$3,E151&lt;=参数!$B$4,E151=INT(E151),TRIM(F151)&lt;&gt;""),1,0),0)</x:f>
        <x:v>0</x:v>
      </x:c>
      <x:c r="L151" t="n">
        <x:f>IFERROR(K151*N(E151),0)</x:f>
        <x:v>0</x:v>
      </x:c>
    </x:row>
    <x:row r="152">
      <x:c r="A152" t="inlineStr">
        <x:is>
          <x:t xml:space="preserve">P09</x:t>
        </x:is>
      </x:c>
      <x:c r="B152" t="inlineStr">
        <x:is>
          <x:t xml:space="preserve">报考可行性</x:t>
        </x:is>
      </x:c>
      <x:c r="C152" t="inlineStr">
        <x:is>
          <x:t xml:space="preserve">考试风险</x:t>
        </x:is>
      </x:c>
      <x:c r="D152" t="inlineStr">
        <x:is>
          <x:t xml:space="preserve">初复试科目稳定性</x:t>
        </x:is>
      </x:c>
      <x:c r="G152" t="inlineStr">
        <x:is>
          <x:t xml:space="preserve">未知</x:t>
        </x:is>
      </x:c>
      <x:c r="I152" t="inlineStr">
        <x:is>
          <x:t xml:space="preserve">待逐条核验；不自动填分</x:t>
        </x:is>
      </x:c>
      <x:c r="J152" t="n">
        <x:f>'三级指标树'!G8</x:f>
        <x:v>0.07425</x:v>
      </x:c>
      <x:c r="K152" t="n">
        <x:f>IFERROR(IF(AND(ISNUMBER(E152),E152&gt;=参数!$B$3,E152&lt;=参数!$B$4,E152=INT(E152),TRIM(F152)&lt;&gt;""),1,0),0)</x:f>
        <x:v>0</x:v>
      </x:c>
      <x:c r="L152" t="n">
        <x:f>IFERROR(K152*N(E152),0)</x:f>
        <x:v>0</x:v>
      </x:c>
    </x:row>
    <x:row r="153">
      <x:c r="A153" t="inlineStr">
        <x:is>
          <x:t xml:space="preserve">P09</x:t>
        </x:is>
      </x:c>
      <x:c r="B153" t="inlineStr">
        <x:is>
          <x:t xml:space="preserve">报考可行性</x:t>
        </x:is>
      </x:c>
      <x:c r="C153" t="inlineStr">
        <x:is>
          <x:t xml:space="preserve">考试风险</x:t>
        </x:is>
      </x:c>
      <x:c r="D153" t="inlineStr">
        <x:is>
          <x:t xml:space="preserve">复试规则可预期性</x:t>
        </x:is>
      </x:c>
      <x:c r="G153" t="inlineStr">
        <x:is>
          <x:t xml:space="preserve">未知</x:t>
        </x:is>
      </x:c>
      <x:c r="I153" t="inlineStr">
        <x:is>
          <x:t xml:space="preserve">待逐条核验；不自动填分</x:t>
        </x:is>
      </x:c>
      <x:c r="J153" t="n">
        <x:f>'三级指标树'!G9</x:f>
        <x:v>0.06075</x:v>
      </x:c>
      <x:c r="K153" t="n">
        <x:f>IFERROR(IF(AND(ISNUMBER(E153),E153&gt;=参数!$B$3,E153&lt;=参数!$B$4,E153=INT(E153),TRIM(F153)&lt;&gt;""),1,0),0)</x:f>
        <x:v>0</x:v>
      </x:c>
      <x:c r="L153" t="n">
        <x:f>IFERROR(K153*N(E153),0)</x:f>
        <x:v>0</x:v>
      </x:c>
    </x:row>
    <x:row r="154">
      <x:c r="A154" t="inlineStr">
        <x:is>
          <x:t xml:space="preserve">P09</x:t>
        </x:is>
      </x:c>
      <x:c r="B154" t="inlineStr">
        <x:is>
          <x:t xml:space="preserve">研究培养</x:t>
        </x:is>
      </x:c>
      <x:c r="C154" t="inlineStr">
        <x:is>
          <x:t xml:space="preserve">科研匹配</x:t>
        </x:is>
      </x:c>
      <x:c r="D154" t="inlineStr">
        <x:is>
          <x:t xml:space="preserve">研究方向相关性</x:t>
        </x:is>
      </x:c>
      <x:c r="G154" t="inlineStr">
        <x:is>
          <x:t xml:space="preserve">未知</x:t>
        </x:is>
      </x:c>
      <x:c r="I154" t="inlineStr">
        <x:is>
          <x:t xml:space="preserve">待逐条核验；不自动填分</x:t>
        </x:is>
      </x:c>
      <x:c r="J154" t="n">
        <x:f>'三级指标树'!G10</x:f>
        <x:v>0.0605</x:v>
      </x:c>
      <x:c r="K154" t="n">
        <x:f>IFERROR(IF(AND(ISNUMBER(E154),E154&gt;=参数!$B$3,E154&lt;=参数!$B$4,E154=INT(E154),TRIM(F154)&lt;&gt;""),1,0),0)</x:f>
        <x:v>0</x:v>
      </x:c>
      <x:c r="L154" t="n">
        <x:f>IFERROR(K154*N(E154),0)</x:f>
        <x:v>0</x:v>
      </x:c>
    </x:row>
    <x:row r="155">
      <x:c r="A155" t="inlineStr">
        <x:is>
          <x:t xml:space="preserve">P09</x:t>
        </x:is>
      </x:c>
      <x:c r="B155" t="inlineStr">
        <x:is>
          <x:t xml:space="preserve">研究培养</x:t>
        </x:is>
      </x:c>
      <x:c r="C155" t="inlineStr">
        <x:is>
          <x:t xml:space="preserve">科研匹配</x:t>
        </x:is>
      </x:c>
      <x:c r="D155" t="inlineStr">
        <x:is>
          <x:t xml:space="preserve">导师招生路径证据</x:t>
        </x:is>
      </x:c>
      <x:c r="G155" t="inlineStr">
        <x:is>
          <x:t xml:space="preserve">未知</x:t>
        </x:is>
      </x:c>
      <x:c r="I155" t="inlineStr">
        <x:is>
          <x:t xml:space="preserve">待逐条核验；不自动填分</x:t>
        </x:is>
      </x:c>
      <x:c r="J155" t="n">
        <x:f>'三级指标树'!G11</x:f>
        <x:v>0.0495</x:v>
      </x:c>
      <x:c r="K155" t="n">
        <x:f>IFERROR(IF(AND(ISNUMBER(E155),E155&gt;=参数!$B$3,E155&lt;=参数!$B$4,E155=INT(E155),TRIM(F155)&lt;&gt;""),1,0),0)</x:f>
        <x:v>0</x:v>
      </x:c>
      <x:c r="L155" t="n">
        <x:f>IFERROR(K155*N(E155),0)</x:f>
        <x:v>0</x:v>
      </x:c>
    </x:row>
    <x:row r="156">
      <x:c r="A156" t="inlineStr">
        <x:is>
          <x:t xml:space="preserve">P09</x:t>
        </x:is>
      </x:c>
      <x:c r="B156" t="inlineStr">
        <x:is>
          <x:t xml:space="preserve">研究培养</x:t>
        </x:is>
      </x:c>
      <x:c r="C156" t="inlineStr">
        <x:is>
          <x:t xml:space="preserve">培养可进入</x:t>
        </x:is>
      </x:c>
      <x:c r="D156" t="inlineStr">
        <x:is>
          <x:t xml:space="preserve">实践机制适用性</x:t>
        </x:is>
      </x:c>
      <x:c r="G156" t="inlineStr">
        <x:is>
          <x:t xml:space="preserve">未知</x:t>
        </x:is>
      </x:c>
      <x:c r="I156" t="inlineStr">
        <x:is>
          <x:t xml:space="preserve">待逐条核验；不自动填分</x:t>
        </x:is>
      </x:c>
      <x:c r="J156" t="n">
        <x:f>'三级指标树'!G12</x:f>
        <x:v>0.045</x:v>
      </x:c>
      <x:c r="K156" t="n">
        <x:f>IFERROR(IF(AND(ISNUMBER(E156),E156&gt;=参数!$B$3,E156&lt;=参数!$B$4,E156=INT(E156),TRIM(F156)&lt;&gt;""),1,0),0)</x:f>
        <x:v>0</x:v>
      </x:c>
      <x:c r="L156" t="n">
        <x:f>IFERROR(K156*N(E156),0)</x:f>
        <x:v>0</x:v>
      </x:c>
    </x:row>
    <x:row r="157">
      <x:c r="A157" t="inlineStr">
        <x:is>
          <x:t xml:space="preserve">P09</x:t>
        </x:is>
      </x:c>
      <x:c r="B157" t="inlineStr">
        <x:is>
          <x:t xml:space="preserve">研究培养</x:t>
        </x:is>
      </x:c>
      <x:c r="C157" t="inlineStr">
        <x:is>
          <x:t xml:space="preserve">培养可进入</x:t>
        </x:is>
      </x:c>
      <x:c r="D157" t="inlineStr">
        <x:is>
          <x:t xml:space="preserve">平台资源可进入性</x:t>
        </x:is>
      </x:c>
      <x:c r="G157" t="inlineStr">
        <x:is>
          <x:t xml:space="preserve">未知</x:t>
        </x:is>
      </x:c>
      <x:c r="I157" t="inlineStr">
        <x:is>
          <x:t xml:space="preserve">待逐条核验；不自动填分</x:t>
        </x:is>
      </x:c>
      <x:c r="J157" t="n">
        <x:f>'三级指标树'!G13</x:f>
        <x:v>0.045</x:v>
      </x:c>
      <x:c r="K157" t="n">
        <x:f>IFERROR(IF(AND(ISNUMBER(E157),E157&gt;=参数!$B$3,E157&lt;=参数!$B$4,E157=INT(E157),TRIM(F157)&lt;&gt;""),1,0),0)</x:f>
        <x:v>0</x:v>
      </x:c>
      <x:c r="L157" t="n">
        <x:f>IFERROR(K157*N(E157),0)</x:f>
        <x:v>0</x:v>
      </x:c>
    </x:row>
    <x:row r="158">
      <x:c r="A158" t="inlineStr">
        <x:is>
          <x:t xml:space="preserve">P09</x:t>
        </x:is>
      </x:c>
      <x:c r="B158" t="inlineStr">
        <x:is>
          <x:t xml:space="preserve">地域生态</x:t>
        </x:is>
      </x:c>
      <x:c r="C158" t="inlineStr">
        <x:is>
          <x:t xml:space="preserve">产业机会</x:t>
        </x:is>
      </x:c>
      <x:c r="D158" t="inlineStr">
        <x:is>
          <x:t xml:space="preserve">城市AI岗位生态</x:t>
        </x:is>
      </x:c>
      <x:c r="G158" t="inlineStr">
        <x:is>
          <x:t xml:space="preserve">未知</x:t>
        </x:is>
      </x:c>
      <x:c r="I158" t="inlineStr">
        <x:is>
          <x:t xml:space="preserve">待逐条核验；不自动填分</x:t>
        </x:is>
      </x:c>
      <x:c r="J158" t="n">
        <x:f>'三级指标树'!G14</x:f>
        <x:v>0.04225</x:v>
      </x:c>
      <x:c r="K158" t="n">
        <x:f>IFERROR(IF(AND(ISNUMBER(E158),E158&gt;=参数!$B$3,E158&lt;=参数!$B$4,E158=INT(E158),TRIM(F158)&lt;&gt;""),1,0),0)</x:f>
        <x:v>0</x:v>
      </x:c>
      <x:c r="L158" t="n">
        <x:f>IFERROR(K158*N(E158),0)</x:f>
        <x:v>0</x:v>
      </x:c>
    </x:row>
    <x:row r="159">
      <x:c r="A159" t="inlineStr">
        <x:is>
          <x:t xml:space="preserve">P09</x:t>
        </x:is>
      </x:c>
      <x:c r="B159" t="inlineStr">
        <x:is>
          <x:t xml:space="preserve">地域生态</x:t>
        </x:is>
      </x:c>
      <x:c r="C159" t="inlineStr">
        <x:is>
          <x:t xml:space="preserve">产业机会</x:t>
        </x:is>
      </x:c>
      <x:c r="D159" t="inlineStr">
        <x:is>
          <x:t xml:space="preserve">实习合作半径</x:t>
        </x:is>
      </x:c>
      <x:c r="G159" t="inlineStr">
        <x:is>
          <x:t xml:space="preserve">未知</x:t>
        </x:is>
      </x:c>
      <x:c r="I159" t="inlineStr">
        <x:is>
          <x:t xml:space="preserve">待逐条核验；不自动填分</x:t>
        </x:is>
      </x:c>
      <x:c r="J159" t="n">
        <x:f>'三级指标树'!G15</x:f>
        <x:v>0.02275</x:v>
      </x:c>
      <x:c r="K159" t="n">
        <x:f>IFERROR(IF(AND(ISNUMBER(E159),E159&gt;=参数!$B$3,E159&lt;=参数!$B$4,E159=INT(E159),TRIM(F159)&lt;&gt;""),1,0),0)</x:f>
        <x:v>0</x:v>
      </x:c>
      <x:c r="L159" t="n">
        <x:f>IFERROR(K159*N(E159),0)</x:f>
        <x:v>0</x:v>
      </x:c>
    </x:row>
    <x:row r="160">
      <x:c r="A160" t="inlineStr">
        <x:is>
          <x:t xml:space="preserve">P09</x:t>
        </x:is>
      </x:c>
      <x:c r="B160" t="inlineStr">
        <x:is>
          <x:t xml:space="preserve">地域生态</x:t>
        </x:is>
      </x:c>
      <x:c r="C160" t="inlineStr">
        <x:is>
          <x:t xml:space="preserve">生活适配</x:t>
        </x:is>
      </x:c>
      <x:c r="D160" t="inlineStr">
        <x:is>
          <x:t xml:space="preserve">地域与气候</x:t>
        </x:is>
      </x:c>
      <x:c r="G160" t="inlineStr">
        <x:is>
          <x:t xml:space="preserve">未知</x:t>
        </x:is>
      </x:c>
      <x:c r="I160" t="inlineStr">
        <x:is>
          <x:t xml:space="preserve">待逐条核验；不自动填分</x:t>
        </x:is>
      </x:c>
      <x:c r="J160" t="n">
        <x:f>'三级指标树'!G16</x:f>
        <x:v>0.035</x:v>
      </x:c>
      <x:c r="K160" t="n">
        <x:f>IFERROR(IF(AND(ISNUMBER(E160),E160&gt;=参数!$B$3,E160&lt;=参数!$B$4,E160=INT(E160),TRIM(F160)&lt;&gt;""),1,0),0)</x:f>
        <x:v>0</x:v>
      </x:c>
      <x:c r="L160" t="n">
        <x:f>IFERROR(K160*N(E160),0)</x:f>
        <x:v>0</x:v>
      </x:c>
    </x:row>
    <x:row r="161">
      <x:c r="A161" t="inlineStr">
        <x:is>
          <x:t xml:space="preserve">P09</x:t>
        </x:is>
      </x:c>
      <x:c r="B161" t="inlineStr">
        <x:is>
          <x:t xml:space="preserve">成本安排</x:t>
        </x:is>
      </x:c>
      <x:c r="C161" t="inlineStr">
        <x:is>
          <x:t xml:space="preserve">经济成本</x:t>
        </x:is>
      </x:c>
      <x:c r="D161" t="inlineStr">
        <x:is>
          <x:t xml:space="preserve">学费及住宿</x:t>
        </x:is>
      </x:c>
      <x:c r="G161" t="inlineStr">
        <x:is>
          <x:t xml:space="preserve">未知</x:t>
        </x:is>
      </x:c>
      <x:c r="I161" t="inlineStr">
        <x:is>
          <x:t xml:space="preserve">待逐条核验；不自动填分</x:t>
        </x:is>
      </x:c>
      <x:c r="J161" t="n">
        <x:f>'三级指标树'!G17</x:f>
        <x:v>0.015125</x:v>
      </x:c>
      <x:c r="K161" t="n">
        <x:f>IFERROR(IF(AND(ISNUMBER(E161),E161&gt;=参数!$B$3,E161&lt;=参数!$B$4,E161=INT(E161),TRIM(F161)&lt;&gt;""),1,0),0)</x:f>
        <x:v>0</x:v>
      </x:c>
      <x:c r="L161" t="n">
        <x:f>IFERROR(K161*N(E161),0)</x:f>
        <x:v>0</x:v>
      </x:c>
    </x:row>
    <x:row r="162">
      <x:c r="A162" t="inlineStr">
        <x:is>
          <x:t xml:space="preserve">P09</x:t>
        </x:is>
      </x:c>
      <x:c r="B162" t="inlineStr">
        <x:is>
          <x:t xml:space="preserve">成本安排</x:t>
        </x:is>
      </x:c>
      <x:c r="C162" t="inlineStr">
        <x:is>
          <x:t xml:space="preserve">经济成本</x:t>
        </x:is>
      </x:c>
      <x:c r="D162" t="inlineStr">
        <x:is>
          <x:t xml:space="preserve">异地与额外支出</x:t>
        </x:is>
      </x:c>
      <x:c r="G162" t="inlineStr">
        <x:is>
          <x:t xml:space="preserve">未知</x:t>
        </x:is>
      </x:c>
      <x:c r="I162" t="inlineStr">
        <x:is>
          <x:t xml:space="preserve">待逐条核验；不自动填分</x:t>
        </x:is>
      </x:c>
      <x:c r="J162" t="n">
        <x:f>'三级指标树'!G18</x:f>
        <x:v>0.012375</x:v>
      </x:c>
      <x:c r="K162" t="n">
        <x:f>IFERROR(IF(AND(ISNUMBER(E162),E162&gt;=参数!$B$3,E162&lt;=参数!$B$4,E162=INT(E162),TRIM(F162)&lt;&gt;""),1,0),0)</x:f>
        <x:v>0</x:v>
      </x:c>
      <x:c r="L162" t="n">
        <x:f>IFERROR(K162*N(E162),0)</x:f>
        <x:v>0</x:v>
      </x:c>
    </x:row>
    <x:row r="163">
      <x:c r="A163" t="inlineStr">
        <x:is>
          <x:t xml:space="preserve">P09</x:t>
        </x:is>
      </x:c>
      <x:c r="B163" t="inlineStr">
        <x:is>
          <x:t xml:space="preserve">成本安排</x:t>
        </x:is>
      </x:c>
      <x:c r="C163" t="inlineStr">
        <x:is>
          <x:t xml:space="preserve">培养安排</x:t>
        </x:is>
      </x:c>
      <x:c r="D163" t="inlineStr">
        <x:is>
          <x:t xml:space="preserve">学制与企业实践</x:t>
        </x:is>
      </x:c>
      <x:c r="G163" t="inlineStr">
        <x:is>
          <x:t xml:space="preserve">未知</x:t>
        </x:is>
      </x:c>
      <x:c r="I163" t="inlineStr">
        <x:is>
          <x:t xml:space="preserve">待逐条核验；不自动填分</x:t>
        </x:is>
      </x:c>
      <x:c r="J163" t="n">
        <x:f>'三级指标树'!G19</x:f>
        <x:v>0.0225</x:v>
      </x:c>
      <x:c r="K163" t="n">
        <x:f>IFERROR(IF(AND(ISNUMBER(E163),E163&gt;=参数!$B$3,E163&lt;=参数!$B$4,E163=INT(E163),TRIM(F163)&lt;&gt;""),1,0),0)</x:f>
        <x:v>0</x:v>
      </x:c>
      <x:c r="L163" t="n">
        <x:f>IFERROR(K163*N(E163),0)</x:f>
        <x:v>0</x:v>
      </x:c>
    </x:row>
    <x:row r="164">
      <x:c r="A164" t="inlineStr">
        <x:is>
          <x:t xml:space="preserve">P10</x:t>
        </x:is>
      </x:c>
      <x:c r="B164" t="inlineStr">
        <x:is>
          <x:t xml:space="preserve">职业发展</x:t>
        </x:is>
      </x:c>
      <x:c r="C164" t="inlineStr">
        <x:is>
          <x:t xml:space="preserve">AI工程就业</x:t>
        </x:is>
      </x:c>
      <x:c r="D164" t="inlineStr">
        <x:is>
          <x:t xml:space="preserve">岗位与实习机会</x:t>
        </x:is>
      </x:c>
      <x:c r="G164" t="inlineStr">
        <x:is>
          <x:t xml:space="preserve">未知</x:t>
        </x:is>
      </x:c>
      <x:c r="I164" t="inlineStr">
        <x:is>
          <x:t xml:space="preserve">待逐条核验；不自动填分</x:t>
        </x:is>
      </x:c>
      <x:c r="J164" t="n">
        <x:f>'三级指标树'!G2</x:f>
        <x:v>0.105</x:v>
      </x:c>
      <x:c r="K164" t="n">
        <x:f>IFERROR(IF(AND(ISNUMBER(E164),E164&gt;=参数!$B$3,E164&lt;=参数!$B$4,E164=INT(E164),TRIM(F164)&lt;&gt;""),1,0),0)</x:f>
        <x:v>0</x:v>
      </x:c>
      <x:c r="L164" t="n">
        <x:f>IFERROR(K164*N(E164),0)</x:f>
        <x:v>0</x:v>
      </x:c>
    </x:row>
    <x:row r="165">
      <x:c r="A165" t="inlineStr">
        <x:is>
          <x:t xml:space="preserve">P10</x:t>
        </x:is>
      </x:c>
      <x:c r="B165" t="inlineStr">
        <x:is>
          <x:t xml:space="preserve">职业发展</x:t>
        </x:is>
      </x:c>
      <x:c r="C165" t="inlineStr">
        <x:is>
          <x:t xml:space="preserve">AI工程就业</x:t>
        </x:is>
      </x:c>
      <x:c r="D165" t="inlineStr">
        <x:is>
          <x:t xml:space="preserve">产业合作可参与性</x:t>
        </x:is>
      </x:c>
      <x:c r="G165" t="inlineStr">
        <x:is>
          <x:t xml:space="preserve">未知</x:t>
        </x:is>
      </x:c>
      <x:c r="I165" t="inlineStr">
        <x:is>
          <x:t xml:space="preserve">待逐条核验；不自动填分</x:t>
        </x:is>
      </x:c>
      <x:c r="J165" t="n">
        <x:f>'三级指标树'!G3</x:f>
        <x:v>0.07</x:v>
      </x:c>
      <x:c r="K165" t="n">
        <x:f>IFERROR(IF(AND(ISNUMBER(E165),E165&gt;=参数!$B$3,E165&lt;=参数!$B$4,E165=INT(E165),TRIM(F165)&lt;&gt;""),1,0),0)</x:f>
        <x:v>0</x:v>
      </x:c>
      <x:c r="L165" t="n">
        <x:f>IFERROR(K165*N(E165),0)</x:f>
        <x:v>0</x:v>
      </x:c>
    </x:row>
    <x:row r="166">
      <x:c r="A166" t="inlineStr">
        <x:is>
          <x:t xml:space="preserve">P10</x:t>
        </x:is>
      </x:c>
      <x:c r="B166" t="inlineStr">
        <x:is>
          <x:t xml:space="preserve">职业发展</x:t>
        </x:is>
      </x:c>
      <x:c r="C166" t="inlineStr">
        <x:is>
          <x:t xml:space="preserve">长期成长</x:t>
        </x:is>
      </x:c>
      <x:c r="D166" t="inlineStr">
        <x:is>
          <x:t xml:space="preserve">Agent/LLM能力积累</x:t>
        </x:is>
      </x:c>
      <x:c r="G166" t="inlineStr">
        <x:is>
          <x:t xml:space="preserve">未知</x:t>
        </x:is>
      </x:c>
      <x:c r="I166" t="inlineStr">
        <x:is>
          <x:t xml:space="preserve">待逐条核验；不自动填分</x:t>
        </x:is>
      </x:c>
      <x:c r="J166" t="n">
        <x:f>'三级指标树'!G4</x:f>
        <x:v>0.105</x:v>
      </x:c>
      <x:c r="K166" t="n">
        <x:f>IFERROR(IF(AND(ISNUMBER(E166),E166&gt;=参数!$B$3,E166&lt;=参数!$B$4,E166=INT(E166),TRIM(F166)&lt;&gt;""),1,0),0)</x:f>
        <x:v>0</x:v>
      </x:c>
      <x:c r="L166" t="n">
        <x:f>IFERROR(K166*N(E166),0)</x:f>
        <x:v>0</x:v>
      </x:c>
    </x:row>
    <x:row r="167">
      <x:c r="A167" t="inlineStr">
        <x:is>
          <x:t xml:space="preserve">P10</x:t>
        </x:is>
      </x:c>
      <x:c r="B167" t="inlineStr">
        <x:is>
          <x:t xml:space="preserve">职业发展</x:t>
        </x:is>
      </x:c>
      <x:c r="C167" t="inlineStr">
        <x:is>
          <x:t xml:space="preserve">长期成长</x:t>
        </x:is>
      </x:c>
      <x:c r="D167" t="inlineStr">
        <x:is>
          <x:t xml:space="preserve">具身/机器人发展空间</x:t>
        </x:is>
      </x:c>
      <x:c r="G167" t="inlineStr">
        <x:is>
          <x:t xml:space="preserve">未知</x:t>
        </x:is>
      </x:c>
      <x:c r="I167" t="inlineStr">
        <x:is>
          <x:t xml:space="preserve">待逐条核验；不自动填分</x:t>
        </x:is>
      </x:c>
      <x:c r="J167" t="n">
        <x:f>'三级指标树'!G5</x:f>
        <x:v>0.07</x:v>
      </x:c>
      <x:c r="K167" t="n">
        <x:f>IFERROR(IF(AND(ISNUMBER(E167),E167&gt;=参数!$B$3,E167&lt;=参数!$B$4,E167=INT(E167),TRIM(F167)&lt;&gt;""),1,0),0)</x:f>
        <x:v>0</x:v>
      </x:c>
      <x:c r="L167" t="n">
        <x:f>IFERROR(K167*N(E167),0)</x:f>
        <x:v>0</x:v>
      </x:c>
    </x:row>
    <x:row r="168">
      <x:c r="A168" t="inlineStr">
        <x:is>
          <x:t xml:space="preserve">P10</x:t>
        </x:is>
      </x:c>
      <x:c r="B168" t="inlineStr">
        <x:is>
          <x:t xml:space="preserve">报考可行性</x:t>
        </x:is>
      </x:c>
      <x:c r="C168" t="inlineStr">
        <x:is>
          <x:t xml:space="preserve">招生路径</x:t>
        </x:is>
      </x:c>
      <x:c r="D168" t="inlineStr">
        <x:is>
          <x:t xml:space="preserve">全日制统考路径明确性</x:t>
        </x:is>
      </x:c>
      <x:c r="G168" t="inlineStr">
        <x:is>
          <x:t xml:space="preserve">未知</x:t>
        </x:is>
      </x:c>
      <x:c r="I168" t="inlineStr">
        <x:is>
          <x:t xml:space="preserve">待逐条核验；不自动填分</x:t>
        </x:is>
      </x:c>
      <x:c r="J168" t="n">
        <x:f>'三级指标树'!G6</x:f>
        <x:v>0.099</x:v>
      </x:c>
      <x:c r="K168" t="n">
        <x:f>IFERROR(IF(AND(ISNUMBER(E168),E168&gt;=参数!$B$3,E168&lt;=参数!$B$4,E168=INT(E168),TRIM(F168)&lt;&gt;""),1,0),0)</x:f>
        <x:v>0</x:v>
      </x:c>
      <x:c r="L168" t="n">
        <x:f>IFERROR(K168*N(E168),0)</x:f>
        <x:v>0</x:v>
      </x:c>
    </x:row>
    <x:row r="169">
      <x:c r="A169" t="inlineStr">
        <x:is>
          <x:t xml:space="preserve">P10</x:t>
        </x:is>
      </x:c>
      <x:c r="B169" t="inlineStr">
        <x:is>
          <x:t xml:space="preserve">报考可行性</x:t>
        </x:is>
      </x:c>
      <x:c r="C169" t="inlineStr">
        <x:is>
          <x:t xml:space="preserve">招生路径</x:t>
        </x:is>
      </x:c>
      <x:c r="D169" t="inlineStr">
        <x:is>
          <x:t xml:space="preserve">名额口径可靠性</x:t>
        </x:is>
      </x:c>
      <x:c r="G169" t="inlineStr">
        <x:is>
          <x:t xml:space="preserve">未知</x:t>
        </x:is>
      </x:c>
      <x:c r="I169" t="inlineStr">
        <x:is>
          <x:t xml:space="preserve">待逐条核验；不自动填分</x:t>
        </x:is>
      </x:c>
      <x:c r="J169" t="n">
        <x:f>'三级指标树'!G7</x:f>
        <x:v>0.066</x:v>
      </x:c>
      <x:c r="K169" t="n">
        <x:f>IFERROR(IF(AND(ISNUMBER(E169),E169&gt;=参数!$B$3,E169&lt;=参数!$B$4,E169=INT(E169),TRIM(F169)&lt;&gt;""),1,0),0)</x:f>
        <x:v>0</x:v>
      </x:c>
      <x:c r="L169" t="n">
        <x:f>IFERROR(K169*N(E169),0)</x:f>
        <x:v>0</x:v>
      </x:c>
    </x:row>
    <x:row r="170">
      <x:c r="A170" t="inlineStr">
        <x:is>
          <x:t xml:space="preserve">P10</x:t>
        </x:is>
      </x:c>
      <x:c r="B170" t="inlineStr">
        <x:is>
          <x:t xml:space="preserve">报考可行性</x:t>
        </x:is>
      </x:c>
      <x:c r="C170" t="inlineStr">
        <x:is>
          <x:t xml:space="preserve">考试风险</x:t>
        </x:is>
      </x:c>
      <x:c r="D170" t="inlineStr">
        <x:is>
          <x:t xml:space="preserve">初复试科目稳定性</x:t>
        </x:is>
      </x:c>
      <x:c r="G170" t="inlineStr">
        <x:is>
          <x:t xml:space="preserve">未知</x:t>
        </x:is>
      </x:c>
      <x:c r="I170" t="inlineStr">
        <x:is>
          <x:t xml:space="preserve">待逐条核验；不自动填分</x:t>
        </x:is>
      </x:c>
      <x:c r="J170" t="n">
        <x:f>'三级指标树'!G8</x:f>
        <x:v>0.07425</x:v>
      </x:c>
      <x:c r="K170" t="n">
        <x:f>IFERROR(IF(AND(ISNUMBER(E170),E170&gt;=参数!$B$3,E170&lt;=参数!$B$4,E170=INT(E170),TRIM(F170)&lt;&gt;""),1,0),0)</x:f>
        <x:v>0</x:v>
      </x:c>
      <x:c r="L170" t="n">
        <x:f>IFERROR(K170*N(E170),0)</x:f>
        <x:v>0</x:v>
      </x:c>
    </x:row>
    <x:row r="171">
      <x:c r="A171" t="inlineStr">
        <x:is>
          <x:t xml:space="preserve">P10</x:t>
        </x:is>
      </x:c>
      <x:c r="B171" t="inlineStr">
        <x:is>
          <x:t xml:space="preserve">报考可行性</x:t>
        </x:is>
      </x:c>
      <x:c r="C171" t="inlineStr">
        <x:is>
          <x:t xml:space="preserve">考试风险</x:t>
        </x:is>
      </x:c>
      <x:c r="D171" t="inlineStr">
        <x:is>
          <x:t xml:space="preserve">复试规则可预期性</x:t>
        </x:is>
      </x:c>
      <x:c r="G171" t="inlineStr">
        <x:is>
          <x:t xml:space="preserve">未知</x:t>
        </x:is>
      </x:c>
      <x:c r="I171" t="inlineStr">
        <x:is>
          <x:t xml:space="preserve">待逐条核验；不自动填分</x:t>
        </x:is>
      </x:c>
      <x:c r="J171" t="n">
        <x:f>'三级指标树'!G9</x:f>
        <x:v>0.06075</x:v>
      </x:c>
      <x:c r="K171" t="n">
        <x:f>IFERROR(IF(AND(ISNUMBER(E171),E171&gt;=参数!$B$3,E171&lt;=参数!$B$4,E171=INT(E171),TRIM(F171)&lt;&gt;""),1,0),0)</x:f>
        <x:v>0</x:v>
      </x:c>
      <x:c r="L171" t="n">
        <x:f>IFERROR(K171*N(E171),0)</x:f>
        <x:v>0</x:v>
      </x:c>
    </x:row>
    <x:row r="172">
      <x:c r="A172" t="inlineStr">
        <x:is>
          <x:t xml:space="preserve">P10</x:t>
        </x:is>
      </x:c>
      <x:c r="B172" t="inlineStr">
        <x:is>
          <x:t xml:space="preserve">研究培养</x:t>
        </x:is>
      </x:c>
      <x:c r="C172" t="inlineStr">
        <x:is>
          <x:t xml:space="preserve">科研匹配</x:t>
        </x:is>
      </x:c>
      <x:c r="D172" t="inlineStr">
        <x:is>
          <x:t xml:space="preserve">研究方向相关性</x:t>
        </x:is>
      </x:c>
      <x:c r="G172" t="inlineStr">
        <x:is>
          <x:t xml:space="preserve">未知</x:t>
        </x:is>
      </x:c>
      <x:c r="I172" t="inlineStr">
        <x:is>
          <x:t xml:space="preserve">待逐条核验；不自动填分</x:t>
        </x:is>
      </x:c>
      <x:c r="J172" t="n">
        <x:f>'三级指标树'!G10</x:f>
        <x:v>0.0605</x:v>
      </x:c>
      <x:c r="K172" t="n">
        <x:f>IFERROR(IF(AND(ISNUMBER(E172),E172&gt;=参数!$B$3,E172&lt;=参数!$B$4,E172=INT(E172),TRIM(F172)&lt;&gt;""),1,0),0)</x:f>
        <x:v>0</x:v>
      </x:c>
      <x:c r="L172" t="n">
        <x:f>IFERROR(K172*N(E172),0)</x:f>
        <x:v>0</x:v>
      </x:c>
    </x:row>
    <x:row r="173">
      <x:c r="A173" t="inlineStr">
        <x:is>
          <x:t xml:space="preserve">P10</x:t>
        </x:is>
      </x:c>
      <x:c r="B173" t="inlineStr">
        <x:is>
          <x:t xml:space="preserve">研究培养</x:t>
        </x:is>
      </x:c>
      <x:c r="C173" t="inlineStr">
        <x:is>
          <x:t xml:space="preserve">科研匹配</x:t>
        </x:is>
      </x:c>
      <x:c r="D173" t="inlineStr">
        <x:is>
          <x:t xml:space="preserve">导师招生路径证据</x:t>
        </x:is>
      </x:c>
      <x:c r="G173" t="inlineStr">
        <x:is>
          <x:t xml:space="preserve">未知</x:t>
        </x:is>
      </x:c>
      <x:c r="I173" t="inlineStr">
        <x:is>
          <x:t xml:space="preserve">待逐条核验；不自动填分</x:t>
        </x:is>
      </x:c>
      <x:c r="J173" t="n">
        <x:f>'三级指标树'!G11</x:f>
        <x:v>0.0495</x:v>
      </x:c>
      <x:c r="K173" t="n">
        <x:f>IFERROR(IF(AND(ISNUMBER(E173),E173&gt;=参数!$B$3,E173&lt;=参数!$B$4,E173=INT(E173),TRIM(F173)&lt;&gt;""),1,0),0)</x:f>
        <x:v>0</x:v>
      </x:c>
      <x:c r="L173" t="n">
        <x:f>IFERROR(K173*N(E173),0)</x:f>
        <x:v>0</x:v>
      </x:c>
    </x:row>
    <x:row r="174">
      <x:c r="A174" t="inlineStr">
        <x:is>
          <x:t xml:space="preserve">P10</x:t>
        </x:is>
      </x:c>
      <x:c r="B174" t="inlineStr">
        <x:is>
          <x:t xml:space="preserve">研究培养</x:t>
        </x:is>
      </x:c>
      <x:c r="C174" t="inlineStr">
        <x:is>
          <x:t xml:space="preserve">培养可进入</x:t>
        </x:is>
      </x:c>
      <x:c r="D174" t="inlineStr">
        <x:is>
          <x:t xml:space="preserve">实践机制适用性</x:t>
        </x:is>
      </x:c>
      <x:c r="G174" t="inlineStr">
        <x:is>
          <x:t xml:space="preserve">未知</x:t>
        </x:is>
      </x:c>
      <x:c r="I174" t="inlineStr">
        <x:is>
          <x:t xml:space="preserve">待逐条核验；不自动填分</x:t>
        </x:is>
      </x:c>
      <x:c r="J174" t="n">
        <x:f>'三级指标树'!G12</x:f>
        <x:v>0.045</x:v>
      </x:c>
      <x:c r="K174" t="n">
        <x:f>IFERROR(IF(AND(ISNUMBER(E174),E174&gt;=参数!$B$3,E174&lt;=参数!$B$4,E174=INT(E174),TRIM(F174)&lt;&gt;""),1,0),0)</x:f>
        <x:v>0</x:v>
      </x:c>
      <x:c r="L174" t="n">
        <x:f>IFERROR(K174*N(E174),0)</x:f>
        <x:v>0</x:v>
      </x:c>
    </x:row>
    <x:row r="175">
      <x:c r="A175" t="inlineStr">
        <x:is>
          <x:t xml:space="preserve">P10</x:t>
        </x:is>
      </x:c>
      <x:c r="B175" t="inlineStr">
        <x:is>
          <x:t xml:space="preserve">研究培养</x:t>
        </x:is>
      </x:c>
      <x:c r="C175" t="inlineStr">
        <x:is>
          <x:t xml:space="preserve">培养可进入</x:t>
        </x:is>
      </x:c>
      <x:c r="D175" t="inlineStr">
        <x:is>
          <x:t xml:space="preserve">平台资源可进入性</x:t>
        </x:is>
      </x:c>
      <x:c r="G175" t="inlineStr">
        <x:is>
          <x:t xml:space="preserve">未知</x:t>
        </x:is>
      </x:c>
      <x:c r="I175" t="inlineStr">
        <x:is>
          <x:t xml:space="preserve">待逐条核验；不自动填分</x:t>
        </x:is>
      </x:c>
      <x:c r="J175" t="n">
        <x:f>'三级指标树'!G13</x:f>
        <x:v>0.045</x:v>
      </x:c>
      <x:c r="K175" t="n">
        <x:f>IFERROR(IF(AND(ISNUMBER(E175),E175&gt;=参数!$B$3,E175&lt;=参数!$B$4,E175=INT(E175),TRIM(F175)&lt;&gt;""),1,0),0)</x:f>
        <x:v>0</x:v>
      </x:c>
      <x:c r="L175" t="n">
        <x:f>IFERROR(K175*N(E175),0)</x:f>
        <x:v>0</x:v>
      </x:c>
    </x:row>
    <x:row r="176">
      <x:c r="A176" t="inlineStr">
        <x:is>
          <x:t xml:space="preserve">P10</x:t>
        </x:is>
      </x:c>
      <x:c r="B176" t="inlineStr">
        <x:is>
          <x:t xml:space="preserve">地域生态</x:t>
        </x:is>
      </x:c>
      <x:c r="C176" t="inlineStr">
        <x:is>
          <x:t xml:space="preserve">产业机会</x:t>
        </x:is>
      </x:c>
      <x:c r="D176" t="inlineStr">
        <x:is>
          <x:t xml:space="preserve">城市AI岗位生态</x:t>
        </x:is>
      </x:c>
      <x:c r="G176" t="inlineStr">
        <x:is>
          <x:t xml:space="preserve">未知</x:t>
        </x:is>
      </x:c>
      <x:c r="I176" t="inlineStr">
        <x:is>
          <x:t xml:space="preserve">待逐条核验；不自动填分</x:t>
        </x:is>
      </x:c>
      <x:c r="J176" t="n">
        <x:f>'三级指标树'!G14</x:f>
        <x:v>0.04225</x:v>
      </x:c>
      <x:c r="K176" t="n">
        <x:f>IFERROR(IF(AND(ISNUMBER(E176),E176&gt;=参数!$B$3,E176&lt;=参数!$B$4,E176=INT(E176),TRIM(F176)&lt;&gt;""),1,0),0)</x:f>
        <x:v>0</x:v>
      </x:c>
      <x:c r="L176" t="n">
        <x:f>IFERROR(K176*N(E176),0)</x:f>
        <x:v>0</x:v>
      </x:c>
    </x:row>
    <x:row r="177">
      <x:c r="A177" t="inlineStr">
        <x:is>
          <x:t xml:space="preserve">P10</x:t>
        </x:is>
      </x:c>
      <x:c r="B177" t="inlineStr">
        <x:is>
          <x:t xml:space="preserve">地域生态</x:t>
        </x:is>
      </x:c>
      <x:c r="C177" t="inlineStr">
        <x:is>
          <x:t xml:space="preserve">产业机会</x:t>
        </x:is>
      </x:c>
      <x:c r="D177" t="inlineStr">
        <x:is>
          <x:t xml:space="preserve">实习合作半径</x:t>
        </x:is>
      </x:c>
      <x:c r="G177" t="inlineStr">
        <x:is>
          <x:t xml:space="preserve">未知</x:t>
        </x:is>
      </x:c>
      <x:c r="I177" t="inlineStr">
        <x:is>
          <x:t xml:space="preserve">待逐条核验；不自动填分</x:t>
        </x:is>
      </x:c>
      <x:c r="J177" t="n">
        <x:f>'三级指标树'!G15</x:f>
        <x:v>0.02275</x:v>
      </x:c>
      <x:c r="K177" t="n">
        <x:f>IFERROR(IF(AND(ISNUMBER(E177),E177&gt;=参数!$B$3,E177&lt;=参数!$B$4,E177=INT(E177),TRIM(F177)&lt;&gt;""),1,0),0)</x:f>
        <x:v>0</x:v>
      </x:c>
      <x:c r="L177" t="n">
        <x:f>IFERROR(K177*N(E177),0)</x:f>
        <x:v>0</x:v>
      </x:c>
    </x:row>
    <x:row r="178">
      <x:c r="A178" t="inlineStr">
        <x:is>
          <x:t xml:space="preserve">P10</x:t>
        </x:is>
      </x:c>
      <x:c r="B178" t="inlineStr">
        <x:is>
          <x:t xml:space="preserve">地域生态</x:t>
        </x:is>
      </x:c>
      <x:c r="C178" t="inlineStr">
        <x:is>
          <x:t xml:space="preserve">生活适配</x:t>
        </x:is>
      </x:c>
      <x:c r="D178" t="inlineStr">
        <x:is>
          <x:t xml:space="preserve">地域与气候</x:t>
        </x:is>
      </x:c>
      <x:c r="G178" t="inlineStr">
        <x:is>
          <x:t xml:space="preserve">未知</x:t>
        </x:is>
      </x:c>
      <x:c r="I178" t="inlineStr">
        <x:is>
          <x:t xml:space="preserve">待逐条核验；不自动填分</x:t>
        </x:is>
      </x:c>
      <x:c r="J178" t="n">
        <x:f>'三级指标树'!G16</x:f>
        <x:v>0.035</x:v>
      </x:c>
      <x:c r="K178" t="n">
        <x:f>IFERROR(IF(AND(ISNUMBER(E178),E178&gt;=参数!$B$3,E178&lt;=参数!$B$4,E178=INT(E178),TRIM(F178)&lt;&gt;""),1,0),0)</x:f>
        <x:v>0</x:v>
      </x:c>
      <x:c r="L178" t="n">
        <x:f>IFERROR(K178*N(E178),0)</x:f>
        <x:v>0</x:v>
      </x:c>
    </x:row>
    <x:row r="179">
      <x:c r="A179" t="inlineStr">
        <x:is>
          <x:t xml:space="preserve">P10</x:t>
        </x:is>
      </x:c>
      <x:c r="B179" t="inlineStr">
        <x:is>
          <x:t xml:space="preserve">成本安排</x:t>
        </x:is>
      </x:c>
      <x:c r="C179" t="inlineStr">
        <x:is>
          <x:t xml:space="preserve">经济成本</x:t>
        </x:is>
      </x:c>
      <x:c r="D179" t="inlineStr">
        <x:is>
          <x:t xml:space="preserve">学费及住宿</x:t>
        </x:is>
      </x:c>
      <x:c r="G179" t="inlineStr">
        <x:is>
          <x:t xml:space="preserve">未知</x:t>
        </x:is>
      </x:c>
      <x:c r="I179" t="inlineStr">
        <x:is>
          <x:t xml:space="preserve">待逐条核验；不自动填分</x:t>
        </x:is>
      </x:c>
      <x:c r="J179" t="n">
        <x:f>'三级指标树'!G17</x:f>
        <x:v>0.015125</x:v>
      </x:c>
      <x:c r="K179" t="n">
        <x:f>IFERROR(IF(AND(ISNUMBER(E179),E179&gt;=参数!$B$3,E179&lt;=参数!$B$4,E179=INT(E179),TRIM(F179)&lt;&gt;""),1,0),0)</x:f>
        <x:v>0</x:v>
      </x:c>
      <x:c r="L179" t="n">
        <x:f>IFERROR(K179*N(E179),0)</x:f>
        <x:v>0</x:v>
      </x:c>
    </x:row>
    <x:row r="180">
      <x:c r="A180" t="inlineStr">
        <x:is>
          <x:t xml:space="preserve">P10</x:t>
        </x:is>
      </x:c>
      <x:c r="B180" t="inlineStr">
        <x:is>
          <x:t xml:space="preserve">成本安排</x:t>
        </x:is>
      </x:c>
      <x:c r="C180" t="inlineStr">
        <x:is>
          <x:t xml:space="preserve">经济成本</x:t>
        </x:is>
      </x:c>
      <x:c r="D180" t="inlineStr">
        <x:is>
          <x:t xml:space="preserve">异地与额外支出</x:t>
        </x:is>
      </x:c>
      <x:c r="G180" t="inlineStr">
        <x:is>
          <x:t xml:space="preserve">未知</x:t>
        </x:is>
      </x:c>
      <x:c r="I180" t="inlineStr">
        <x:is>
          <x:t xml:space="preserve">待逐条核验；不自动填分</x:t>
        </x:is>
      </x:c>
      <x:c r="J180" t="n">
        <x:f>'三级指标树'!G18</x:f>
        <x:v>0.012375</x:v>
      </x:c>
      <x:c r="K180" t="n">
        <x:f>IFERROR(IF(AND(ISNUMBER(E180),E180&gt;=参数!$B$3,E180&lt;=参数!$B$4,E180=INT(E180),TRIM(F180)&lt;&gt;""),1,0),0)</x:f>
        <x:v>0</x:v>
      </x:c>
      <x:c r="L180" t="n">
        <x:f>IFERROR(K180*N(E180),0)</x:f>
        <x:v>0</x:v>
      </x:c>
    </x:row>
    <x:row r="181">
      <x:c r="A181" t="inlineStr">
        <x:is>
          <x:t xml:space="preserve">P10</x:t>
        </x:is>
      </x:c>
      <x:c r="B181" t="inlineStr">
        <x:is>
          <x:t xml:space="preserve">成本安排</x:t>
        </x:is>
      </x:c>
      <x:c r="C181" t="inlineStr">
        <x:is>
          <x:t xml:space="preserve">培养安排</x:t>
        </x:is>
      </x:c>
      <x:c r="D181" t="inlineStr">
        <x:is>
          <x:t xml:space="preserve">学制与企业实践</x:t>
        </x:is>
      </x:c>
      <x:c r="G181" t="inlineStr">
        <x:is>
          <x:t xml:space="preserve">未知</x:t>
        </x:is>
      </x:c>
      <x:c r="I181" t="inlineStr">
        <x:is>
          <x:t xml:space="preserve">待逐条核验；不自动填分</x:t>
        </x:is>
      </x:c>
      <x:c r="J181" t="n">
        <x:f>'三级指标树'!G19</x:f>
        <x:v>0.0225</x:v>
      </x:c>
      <x:c r="K181" t="n">
        <x:f>IFERROR(IF(AND(ISNUMBER(E181),E181&gt;=参数!$B$3,E181&lt;=参数!$B$4,E181=INT(E181),TRIM(F181)&lt;&gt;""),1,0),0)</x:f>
        <x:v>0</x:v>
      </x:c>
      <x:c r="L181" t="n">
        <x:f>IFERROR(K181*N(E181),0)</x:f>
        <x:v>0</x:v>
      </x:c>
    </x:row>
  </x:sheetData>
  <x:dataValidations count="2">
    <x:dataValidation type="list" allowBlank="0" showDropDown="0" showInputMessage="0" showErrorMessage="0" sqref="E2:E181">
      <x:formula1>"1,2,3,4,5"</x:formula1>
    </x:dataValidation>
    <x:dataValidation type="list" allowBlank="0" showDropDown="0" showInputMessage="0" showErrorMessage="0" sqref="G2:G181">
      <x:formula1>"事实,推断,未知"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style="12" customWidth="1"/>
    <x:col min="2" max="2" width="19" style="12" customWidth="1"/>
    <x:col min="3" max="3" width="19" style="12" customWidth="1"/>
    <x:col min="4" max="4" width="19" style="12" customWidth="1"/>
    <x:col min="5" max="5" width="19" style="12" customWidth="1"/>
    <x:col min="6" max="6" width="30" style="12" customWidth="1"/>
    <x:col min="7" max="7" width="30" style="12" customWidth="1"/>
    <x:col min="8" max="8" width="30" style="12" customWidth="1"/>
  </x:cols>
  <x:sheetData>
    <x:row r="1" s="12" customFormat="1" ht="30" customHeight="1">
      <x:c r="A1" s="15" t="inlineStr">
        <x:is>
          <x:t xml:space="preserve">路径ID</x:t>
        </x:is>
      </x:c>
      <x:c r="B1" s="15" t="inlineStr">
        <x:is>
          <x:t xml:space="preserve">已填指标数</x:t>
        </x:is>
      </x:c>
      <x:c r="C1" s="15" t="inlineStr">
        <x:is>
          <x:t xml:space="preserve">证据覆盖权重</x:t>
        </x:is>
      </x:c>
      <x:c r="D1" s="15" t="inlineStr">
        <x:is>
          <x:t xml:space="preserve">已知加权评分</x:t>
        </x:is>
      </x:c>
      <x:c r="E1" s="15" t="inlineStr">
        <x:is>
          <x:t xml:space="preserve">是否足以比较</x:t>
        </x:is>
      </x:c>
      <x:c r="F1" s="15" t="inlineStr">
        <x:is>
          <x:t xml:space="preserve">职业优先情景</x:t>
        </x:is>
      </x:c>
      <x:c r="G1" s="15" t="inlineStr">
        <x:is>
          <x:t xml:space="preserve">报考优先情景</x:t>
        </x:is>
      </x:c>
      <x:c r="H1" s="15" t="inlineStr">
        <x:is>
          <x:t xml:space="preserve">说明</x:t>
        </x:is>
      </x:c>
      <x:c r="J1" t="inlineStr">
        <x:is>
          <x:t xml:space="preserve">职业覆盖权重</x:t>
        </x:is>
      </x:c>
      <x:c r="K1" t="inlineStr">
        <x:is>
          <x:t xml:space="preserve">报考覆盖权重</x:t>
        </x:is>
      </x:c>
      <x:c r="L1" t="inlineStr">
        <x:is>
          <x:t xml:space="preserve">科研覆盖权重</x:t>
        </x:is>
      </x:c>
    </x:row>
    <x:row r="2">
      <x:c r="A2" t="inlineStr">
        <x:is>
          <x:t xml:space="preserve">P01</x:t>
        </x:is>
      </x:c>
      <x:c r="B2" t="n">
        <x:f>SUM('三级证据评分'!$K$2:$K$19)</x:f>
        <x:v>0</x:v>
      </x:c>
      <x:c r="C2" s="29" t="n">
        <x:f>'3_2情景比较'!D2</x:f>
        <x:v>0</x:v>
      </x:c>
      <x:c r="D2" t="str">
        <x:f>'3_2情景比较'!E2</x:f>
      </x:c>
      <x:c r="E2" t="str">
        <x:f>'3_2情景比较'!I2</x:f>
        <x:v>硬约束待确认-不可比较</x:v>
      </x:c>
      <x:c r="F2" t="str">
        <x:f>'3_2情景比较'!F2</x:f>
      </x:c>
      <x:c r="G2" t="str">
        <x:f>'3_2情景比较'!G2</x:f>
      </x:c>
      <x:c r="H2" t="inlineStr">
        <x:is>
          <x:t xml:space="preserve">未评分不排名；权重覆盖率不足80%不比较</x:t>
        </x:is>
      </x:c>
      <x:c r="J2" t="n">
        <x:f>'3_2情景比较'!K2</x:f>
        <x:v>0</x:v>
      </x:c>
      <x:c r="K2" t="n">
        <x:f>'3_2情景比较'!L2</x:f>
        <x:v>0</x:v>
      </x:c>
      <x:c r="L2" t="n">
        <x:f>'3_2情景比较'!M2</x:f>
        <x:v>0</x:v>
      </x:c>
    </x:row>
    <x:row r="3">
      <x:c r="A3" t="inlineStr">
        <x:is>
          <x:t xml:space="preserve">P02</x:t>
        </x:is>
      </x:c>
      <x:c r="B3" t="n">
        <x:f>SUM('三级证据评分'!$K$20:$K$37)</x:f>
        <x:v>0</x:v>
      </x:c>
      <x:c r="C3" s="29" t="n">
        <x:f>'3_2情景比较'!D3</x:f>
        <x:v>0</x:v>
      </x:c>
      <x:c r="D3" t="str">
        <x:f>'3_2情景比较'!E3</x:f>
      </x:c>
      <x:c r="E3" t="str">
        <x:f>'3_2情景比较'!I3</x:f>
        <x:v>硬约束待确认-不可比较</x:v>
      </x:c>
      <x:c r="F3" t="str">
        <x:f>'3_2情景比较'!F3</x:f>
      </x:c>
      <x:c r="G3" t="str">
        <x:f>'3_2情景比较'!G3</x:f>
      </x:c>
      <x:c r="H3" t="inlineStr">
        <x:is>
          <x:t xml:space="preserve">未评分不排名；权重覆盖率不足80%不比较</x:t>
        </x:is>
      </x:c>
      <x:c r="J3" t="n">
        <x:f>'3_2情景比较'!K3</x:f>
        <x:v>0</x:v>
      </x:c>
      <x:c r="K3" t="n">
        <x:f>'3_2情景比较'!L3</x:f>
        <x:v>0</x:v>
      </x:c>
      <x:c r="L3" t="n">
        <x:f>'3_2情景比较'!M3</x:f>
        <x:v>0</x:v>
      </x:c>
    </x:row>
    <x:row r="4">
      <x:c r="A4" t="inlineStr">
        <x:is>
          <x:t xml:space="preserve">P03</x:t>
        </x:is>
      </x:c>
      <x:c r="B4" t="n">
        <x:f>SUM('三级证据评分'!$K$38:$K$55)</x:f>
        <x:v>0</x:v>
      </x:c>
      <x:c r="C4" s="29" t="n">
        <x:f>'3_2情景比较'!D4</x:f>
        <x:v>0</x:v>
      </x:c>
      <x:c r="D4" t="str">
        <x:f>'3_2情景比较'!E4</x:f>
      </x:c>
      <x:c r="E4" t="str">
        <x:f>'3_2情景比较'!I4</x:f>
        <x:v>硬约束待确认-不可比较</x:v>
      </x:c>
      <x:c r="F4" t="str">
        <x:f>'3_2情景比较'!F4</x:f>
      </x:c>
      <x:c r="G4" t="str">
        <x:f>'3_2情景比较'!G4</x:f>
      </x:c>
      <x:c r="H4" t="inlineStr">
        <x:is>
          <x:t xml:space="preserve">未评分不排名；权重覆盖率不足80%不比较</x:t>
        </x:is>
      </x:c>
      <x:c r="J4" t="n">
        <x:f>'3_2情景比较'!K4</x:f>
        <x:v>0</x:v>
      </x:c>
      <x:c r="K4" t="n">
        <x:f>'3_2情景比较'!L4</x:f>
        <x:v>0</x:v>
      </x:c>
      <x:c r="L4" t="n">
        <x:f>'3_2情景比较'!M4</x:f>
        <x:v>0</x:v>
      </x:c>
    </x:row>
    <x:row r="5">
      <x:c r="A5" t="inlineStr">
        <x:is>
          <x:t xml:space="preserve">P04</x:t>
        </x:is>
      </x:c>
      <x:c r="B5" t="n">
        <x:f>SUM('三级证据评分'!$K$56:$K$73)</x:f>
        <x:v>0</x:v>
      </x:c>
      <x:c r="C5" s="29" t="n">
        <x:f>'3_2情景比较'!D5</x:f>
        <x:v>0</x:v>
      </x:c>
      <x:c r="D5" t="str">
        <x:f>'3_2情景比较'!E5</x:f>
      </x:c>
      <x:c r="E5" t="str">
        <x:f>'3_2情景比较'!I5</x:f>
        <x:v>硬约束待确认-不可比较</x:v>
      </x:c>
      <x:c r="F5" t="str">
        <x:f>'3_2情景比较'!F5</x:f>
      </x:c>
      <x:c r="G5" t="str">
        <x:f>'3_2情景比较'!G5</x:f>
      </x:c>
      <x:c r="H5" t="inlineStr">
        <x:is>
          <x:t xml:space="preserve">未评分不排名；权重覆盖率不足80%不比较</x:t>
        </x:is>
      </x:c>
      <x:c r="J5" t="n">
        <x:f>'3_2情景比较'!K5</x:f>
        <x:v>0</x:v>
      </x:c>
      <x:c r="K5" t="n">
        <x:f>'3_2情景比较'!L5</x:f>
        <x:v>0</x:v>
      </x:c>
      <x:c r="L5" t="n">
        <x:f>'3_2情景比较'!M5</x:f>
        <x:v>0</x:v>
      </x:c>
    </x:row>
    <x:row r="6">
      <x:c r="A6" t="inlineStr">
        <x:is>
          <x:t xml:space="preserve">P05</x:t>
        </x:is>
      </x:c>
      <x:c r="B6" t="n">
        <x:f>SUM('三级证据评分'!$K$74:$K$91)</x:f>
        <x:v>0</x:v>
      </x:c>
      <x:c r="C6" s="29" t="n">
        <x:f>'3_2情景比较'!D6</x:f>
        <x:v>0</x:v>
      </x:c>
      <x:c r="D6" t="str">
        <x:f>'3_2情景比较'!E6</x:f>
      </x:c>
      <x:c r="E6" t="str">
        <x:f>'3_2情景比较'!I6</x:f>
        <x:v>硬约束待确认-不可比较</x:v>
      </x:c>
      <x:c r="F6" t="str">
        <x:f>'3_2情景比较'!F6</x:f>
      </x:c>
      <x:c r="G6" t="str">
        <x:f>'3_2情景比较'!G6</x:f>
      </x:c>
      <x:c r="H6" t="inlineStr">
        <x:is>
          <x:t xml:space="preserve">未评分不排名；权重覆盖率不足80%不比较</x:t>
        </x:is>
      </x:c>
      <x:c r="J6" t="n">
        <x:f>'3_2情景比较'!K6</x:f>
        <x:v>0</x:v>
      </x:c>
      <x:c r="K6" t="n">
        <x:f>'3_2情景比较'!L6</x:f>
        <x:v>0</x:v>
      </x:c>
      <x:c r="L6" t="n">
        <x:f>'3_2情景比较'!M6</x:f>
        <x:v>0</x:v>
      </x:c>
    </x:row>
    <x:row r="7">
      <x:c r="A7" t="inlineStr">
        <x:is>
          <x:t xml:space="preserve">P06</x:t>
        </x:is>
      </x:c>
      <x:c r="B7" t="n">
        <x:f>SUM('三级证据评分'!$K$92:$K$109)</x:f>
        <x:v>0</x:v>
      </x:c>
      <x:c r="C7" s="29" t="n">
        <x:f>'3_2情景比较'!D7</x:f>
        <x:v>0</x:v>
      </x:c>
      <x:c r="D7" t="str">
        <x:f>'3_2情景比较'!E7</x:f>
      </x:c>
      <x:c r="E7" t="str">
        <x:f>'3_2情景比较'!I7</x:f>
        <x:v>硬约束待确认-不可比较</x:v>
      </x:c>
      <x:c r="F7" t="str">
        <x:f>'3_2情景比较'!F7</x:f>
      </x:c>
      <x:c r="G7" t="str">
        <x:f>'3_2情景比较'!G7</x:f>
      </x:c>
      <x:c r="H7" t="inlineStr">
        <x:is>
          <x:t xml:space="preserve">未评分不排名；权重覆盖率不足80%不比较</x:t>
        </x:is>
      </x:c>
      <x:c r="J7" t="n">
        <x:f>'3_2情景比较'!K7</x:f>
        <x:v>0</x:v>
      </x:c>
      <x:c r="K7" t="n">
        <x:f>'3_2情景比较'!L7</x:f>
        <x:v>0</x:v>
      </x:c>
      <x:c r="L7" t="n">
        <x:f>'3_2情景比较'!M7</x:f>
        <x:v>0</x:v>
      </x:c>
    </x:row>
    <x:row r="8">
      <x:c r="A8" t="inlineStr">
        <x:is>
          <x:t xml:space="preserve">P07</x:t>
        </x:is>
      </x:c>
      <x:c r="B8" t="n">
        <x:f>SUM('三级证据评分'!$K$110:$K$127)</x:f>
        <x:v>0</x:v>
      </x:c>
      <x:c r="C8" s="29" t="n">
        <x:f>'3_2情景比较'!D8</x:f>
        <x:v>0</x:v>
      </x:c>
      <x:c r="D8" t="str">
        <x:f>'3_2情景比较'!E8</x:f>
      </x:c>
      <x:c r="E8" t="str">
        <x:f>'3_2情景比较'!I8</x:f>
        <x:v>硬约束待确认-不可比较</x:v>
      </x:c>
      <x:c r="F8" t="str">
        <x:f>'3_2情景比较'!F8</x:f>
      </x:c>
      <x:c r="G8" t="str">
        <x:f>'3_2情景比较'!G8</x:f>
      </x:c>
      <x:c r="H8" t="inlineStr">
        <x:is>
          <x:t xml:space="preserve">未评分不排名；权重覆盖率不足80%不比较</x:t>
        </x:is>
      </x:c>
      <x:c r="J8" t="n">
        <x:f>'3_2情景比较'!K8</x:f>
        <x:v>0</x:v>
      </x:c>
      <x:c r="K8" t="n">
        <x:f>'3_2情景比较'!L8</x:f>
        <x:v>0</x:v>
      </x:c>
      <x:c r="L8" t="n">
        <x:f>'3_2情景比较'!M8</x:f>
        <x:v>0</x:v>
      </x:c>
    </x:row>
    <x:row r="9">
      <x:c r="A9" t="inlineStr">
        <x:is>
          <x:t xml:space="preserve">P08</x:t>
        </x:is>
      </x:c>
      <x:c r="B9" t="n">
        <x:f>SUM('三级证据评分'!$K$128:$K$145)</x:f>
        <x:v>0</x:v>
      </x:c>
      <x:c r="C9" s="29" t="n">
        <x:f>'3_2情景比较'!D9</x:f>
        <x:v>0</x:v>
      </x:c>
      <x:c r="D9" t="str">
        <x:f>'3_2情景比较'!E9</x:f>
      </x:c>
      <x:c r="E9" t="str">
        <x:f>'3_2情景比较'!I9</x:f>
        <x:v>硬约束待确认-不可比较</x:v>
      </x:c>
      <x:c r="F9" t="str">
        <x:f>'3_2情景比较'!F9</x:f>
      </x:c>
      <x:c r="G9" t="str">
        <x:f>'3_2情景比较'!G9</x:f>
      </x:c>
      <x:c r="H9" t="inlineStr">
        <x:is>
          <x:t xml:space="preserve">未评分不排名；权重覆盖率不足80%不比较</x:t>
        </x:is>
      </x:c>
      <x:c r="J9" t="n">
        <x:f>'3_2情景比较'!K9</x:f>
        <x:v>0</x:v>
      </x:c>
      <x:c r="K9" t="n">
        <x:f>'3_2情景比较'!L9</x:f>
        <x:v>0</x:v>
      </x:c>
      <x:c r="L9" t="n">
        <x:f>'3_2情景比较'!M9</x:f>
        <x:v>0</x:v>
      </x:c>
    </x:row>
    <x:row r="10">
      <x:c r="A10" t="inlineStr">
        <x:is>
          <x:t xml:space="preserve">P09</x:t>
        </x:is>
      </x:c>
      <x:c r="B10" t="n">
        <x:f>SUM('三级证据评分'!$K$146:$K$163)</x:f>
        <x:v>0</x:v>
      </x:c>
      <x:c r="C10" s="29" t="n">
        <x:f>'3_2情景比较'!D10</x:f>
        <x:v>0</x:v>
      </x:c>
      <x:c r="D10" t="str">
        <x:f>'3_2情景比较'!E10</x:f>
      </x:c>
      <x:c r="E10" t="str">
        <x:f>'3_2情景比较'!I10</x:f>
        <x:v>硬约束待确认-不可比较</x:v>
      </x:c>
      <x:c r="F10" t="str">
        <x:f>'3_2情景比较'!F10</x:f>
      </x:c>
      <x:c r="G10" t="str">
        <x:f>'3_2情景比较'!G10</x:f>
      </x:c>
      <x:c r="H10" t="inlineStr">
        <x:is>
          <x:t xml:space="preserve">未评分不排名；权重覆盖率不足80%不比较</x:t>
        </x:is>
      </x:c>
      <x:c r="J10" t="n">
        <x:f>'3_2情景比较'!K10</x:f>
        <x:v>0</x:v>
      </x:c>
      <x:c r="K10" t="n">
        <x:f>'3_2情景比较'!L10</x:f>
        <x:v>0</x:v>
      </x:c>
      <x:c r="L10" t="n">
        <x:f>'3_2情景比较'!M10</x:f>
        <x:v>0</x:v>
      </x:c>
    </x:row>
    <x:row r="11">
      <x:c r="A11" t="inlineStr">
        <x:is>
          <x:t xml:space="preserve">P10</x:t>
        </x:is>
      </x:c>
      <x:c r="B11" t="n">
        <x:f>SUM('三级证据评分'!$K$164:$K$181)</x:f>
        <x:v>0</x:v>
      </x:c>
      <x:c r="C11" s="29" t="n">
        <x:f>'3_2情景比较'!D11</x:f>
        <x:v>0</x:v>
      </x:c>
      <x:c r="D11" t="n">
        <x:f>'3_2情景比较'!E11</x:f>
        <x:v>0</x:v>
      </x:c>
      <x:c r="E11" t="str">
        <x:f>'3_2情景比较'!I11</x:f>
        <x:v>硬约束待确认-不可比较</x:v>
      </x:c>
      <x:c r="F11" t="n">
        <x:f>'3_2情景比较'!F11</x:f>
        <x:v>0</x:v>
      </x:c>
      <x:c r="G11" t="n">
        <x:f>'3_2情景比较'!G11</x:f>
        <x:v>0</x:v>
      </x:c>
      <x:c r="H11" t="inlineStr">
        <x:is>
          <x:t xml:space="preserve">未评分不排名；权重覆盖率不足80%不比较</x:t>
        </x:is>
      </x:c>
      <x:c r="J11" t="n">
        <x:f>'3_2情景比较'!K11</x:f>
        <x:v>0</x:v>
      </x:c>
      <x:c r="K11" t="n">
        <x:f>'3_2情景比较'!L11</x:f>
        <x:v>0</x:v>
      </x:c>
      <x:c r="L11" t="n">
        <x:f>'3_2情景比较'!M11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style="12" customWidth="1"/>
    <x:col min="2" max="2" width="85" style="12" customWidth="1"/>
  </x:cols>
  <x:sheetData>
    <x:row r="1" s="12" customFormat="1" ht="30" customHeight="1">
      <x:c r="A1" s="15" t="inlineStr">
        <x:is>
          <x:t xml:space="preserve">事项</x:t>
        </x:is>
      </x:c>
      <x:c r="B1" s="15" t="inlineStr">
        <x:is>
          <x:t xml:space="preserve">说明</x:t>
        </x:is>
      </x:c>
    </x:row>
    <x:row r="2">
      <x:c r="A2" t="inlineStr">
        <x:is>
          <x:t xml:space="preserve">版本</x:t>
        </x:is>
      </x:c>
      <x:c r="B2" t="inlineStr">
        <x:is>
          <x:t xml:space="preserve">Phase 3.1；基于Phase3.0扩展，保留旧工作表作为历史Demo</x:t>
        </x:is>
      </x:c>
    </x:row>
    <x:row r="3">
      <x:c r="A3" t="inlineStr">
        <x:is>
          <x:t xml:space="preserve">修改权重</x:t>
        </x:is>
      </x:c>
      <x:c r="B3" t="inlineStr">
        <x:is>
          <x:t xml:space="preserve">在「三级指标树」M列修改一级/二级权重，在F列修改三级组内权重；同级合计须为100</x:t>
        </x:is>
      </x:c>
    </x:row>
    <x:row r="4">
      <x:c r="A4" t="inlineStr">
        <x:is>
          <x:t xml:space="preserve">录入评分</x:t>
        </x:is>
      </x:c>
      <x:c r="B4" t="inlineStr">
        <x:is>
          <x:t xml:space="preserve">在「三级证据评分」E列填1-5，F列填写可追溯来源，G列标事实/推断/未知</x:t>
        </x:is>
      </x:c>
    </x:row>
    <x:row r="5">
      <x:c r="A5" t="inlineStr">
        <x:is>
          <x:t xml:space="preserve">未知处理</x:t>
        </x:is>
      </x:c>
      <x:c r="B5" t="inlineStr">
        <x:is>
          <x:t xml:space="preserve">空白不等于0；覆盖率只计已填评分的全局权重</x:t>
        </x:is>
      </x:c>
    </x:row>
    <x:row r="6">
      <x:c r="A6" t="inlineStr">
        <x:is>
          <x:t xml:space="preserve">重要警告</x:t>
        </x:is>
      </x:c>
      <x:c r="B6" t="inlineStr">
        <x:is>
          <x:t xml:space="preserve">评分仍需人工按证据锚点判断；当前未自动生成任何学校实力分</x:t>
        </x:is>
      </x:c>
    </x:row>
    <x:row r="7">
      <x:c r="A7" t="inlineStr">
        <x:is>
          <x:t xml:space="preserve">三级树校验</x:t>
        </x:is>
      </x:c>
      <x:c r="B7" t="inlineStr">
        <x:is>
          <x:t xml:space="preserve">M22应为100；M23应为1；每个二级组内F列之和应为100</x:t>
        </x:is>
      </x:c>
    </x:row>
    <x:row r="8">
      <x:c r="A8" t="inlineStr">
        <x:is>
          <x:t xml:space="preserve">情景分析</x:t>
        </x:is>
      </x:c>
      <x:c r="B8" t="inlineStr">
        <x:is>
          <x:t xml:space="preserve">情景列暂留空；缺少经核准的路径级评分，不生成伪精确排序</x:t>
        </x:is>
      </x:c>
    </x:row>
    <x:row r="9">
      <x:c r="A9" t="inlineStr">
        <x:is>
          <x:t xml:space="preserve">年份边界</x:t>
        </x:is>
      </x:c>
      <x:c r="B9" t="inlineStr">
        <x:is>
          <x:t xml:space="preserve">2027资料不能保证2028招生；正式招生目录发布后复核硬约束</x:t>
        </x:is>
      </x:c>
    </x:row>
    <x:row r="10">
      <x:c r="A10" t="inlineStr">
        <x:is>
          <x:t xml:space="preserve">三条出路</x:t>
        </x:is>
      </x:c>
      <x:c r="B10" t="inlineStr">
        <x:is>
          <x:t xml:space="preserve">一志愿、值得接受的调剂、直接就业；不接受二战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12" customWidth="1"/>
    <x:col min="5" max="5" width="26" style="12" customWidth="1"/>
    <x:col min="8" max="8" width="65" style="12" customWidth="1"/>
    <x:col min="9" max="9" width="30" style="12" customWidth="1"/>
    <x:col min="13" max="13" width="45" style="12" customWidth="1"/>
  </x:cols>
  <x:sheetData>
    <x:row r="1" s="12" customFormat="1" ht="30" customHeight="1">
      <x:c r="A1" s="18" t="inlineStr">
        <x:is>
          <x:t xml:space="preserve">路径ID</x:t>
        </x:is>
      </x:c>
      <x:c r="B1" s="18" t="inlineStr">
        <x:is>
          <x:t xml:space="preserve">学校</x:t>
        </x:is>
      </x:c>
      <x:c r="C1" s="18" t="inlineStr">
        <x:is>
          <x:t xml:space="preserve">学院</x:t>
        </x:is>
      </x:c>
      <x:c r="D1" s="18" t="inlineStr">
        <x:is>
          <x:t xml:space="preserve">专业</x:t>
        </x:is>
      </x:c>
      <x:c r="E1" s="18" t="inlineStr">
        <x:is>
          <x:t xml:space="preserve">三级指标</x:t>
        </x:is>
      </x:c>
      <x:c r="F1" s="18" t="inlineStr">
        <x:is>
          <x:t xml:space="preserve">来源阶段</x:t>
        </x:is>
      </x:c>
      <x:c r="G1" s="18" t="inlineStr">
        <x:is>
          <x:t xml:space="preserve">证据主题</x:t>
        </x:is>
      </x:c>
      <x:c r="H1" s="18" t="inlineStr">
        <x:is>
          <x:t xml:space="preserve">证据陈述（原文）</x:t>
        </x:is>
      </x:c>
      <x:c r="I1" s="18" t="inlineStr">
        <x:is>
          <x:t xml:space="preserve">来源ID</x:t>
        </x:is>
      </x:c>
      <x:c r="J1" s="18" t="inlineStr">
        <x:is>
          <x:t xml:space="preserve">证据等级</x:t>
        </x:is>
      </x:c>
      <x:c r="K1" s="18" t="inlineStr">
        <x:is>
          <x:t xml:space="preserve">可进入性</x:t>
        </x:is>
      </x:c>
      <x:c r="L1" s="18" t="inlineStr">
        <x:is>
          <x:t xml:space="preserve">核验状态</x:t>
        </x:is>
      </x:c>
      <x:c r="M1" s="18" t="inlineStr">
        <x:is>
          <x:t xml:space="preserve">匹配限制</x:t>
        </x:is>
      </x:c>
      <x:c r="N1" s="18" t="inlineStr">
        <x:is>
          <x:t xml:space="preserve">评分状态</x:t>
        </x:is>
      </x:c>
    </x:row>
    <x:row r="2">
      <x:c r="A2" t="inlineStr">
        <x:is>
          <x:t xml:space="preserve">P01</x:t>
        </x:is>
      </x:c>
      <x:c r="B2" t="inlineStr">
        <x:is>
          <x:t xml:space="preserve">北京邮电大学</x:t>
        </x:is>
      </x:c>
      <x:c r="C2" t="inlineStr">
        <x:is>
          <x:t xml:space="preserve">005</x:t>
        </x:is>
      </x:c>
      <x:c r="D2" t="inlineStr">
        <x:is>
          <x:t xml:space="preserve">085410</x:t>
        </x:is>
      </x:c>
      <x:c r="E2" t="inlineStr">
        <x:is>
          <x:t xml:space="preserve">岗位与实习机会</x:t>
        </x:is>
      </x:c>
      <x:c r="F2" t="inlineStr">
        <x:is>
          <x:t xml:space="preserve">2D资源</x:t>
        </x:is>
      </x:c>
      <x:c r="G2" t="inlineStr">
        <x:is>
          <x:t xml:space="preserve">D4-就业与产业连接</x:t>
        </x:is>
      </x:c>
      <x:c r="H2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2" t="inlineStr">
        <x:is>
          <x:t xml:space="preserve">S-BUPT-J1</x:t>
        </x:is>
      </x:c>
      <x:c r="J2" t="inlineStr">
        <x:is>
          <x:t xml:space="preserve">S4</x:t>
        </x:is>
      </x:c>
      <x:c r="K2" t="inlineStr">
        <x:is>
          <x:t xml:space="preserve">P3</x:t>
        </x:is>
      </x:c>
      <x:c r="L2" t="inlineStr">
        <x:is>
          <x:t xml:space="preserve">线索(全校级)</x:t>
        </x:is>
      </x:c>
      <x:c r="M2" t="inlineStr">
        <x:is>
          <x:t xml:space="preserve">仅学院/专业级关联；未证该方向或导师可进入；不得自动打分；北邮方向01/02证据需分方向核验</x:t>
        </x:is>
      </x:c>
      <x:c r="N2" t="inlineStr">
        <x:is>
          <x:t xml:space="preserve">待人工评价</x:t>
        </x:is>
      </x:c>
    </x:row>
    <x:row r="3">
      <x:c r="A3" t="inlineStr">
        <x:is>
          <x:t xml:space="preserve">P01</x:t>
        </x:is>
      </x:c>
      <x:c r="B3" t="inlineStr">
        <x:is>
          <x:t xml:space="preserve">北京邮电大学</x:t>
        </x:is>
      </x:c>
      <x:c r="C3" t="inlineStr">
        <x:is>
          <x:t xml:space="preserve">005</x:t>
        </x:is>
      </x:c>
      <x:c r="D3" t="inlineStr">
        <x:is>
          <x:t xml:space="preserve">085410</x:t>
        </x:is>
      </x:c>
      <x:c r="E3" t="inlineStr">
        <x:is>
          <x:t xml:space="preserve">产业合作可参与性</x:t>
        </x:is>
      </x:c>
      <x:c r="F3" t="inlineStr">
        <x:is>
          <x:t xml:space="preserve">2D资源</x:t>
        </x:is>
      </x:c>
      <x:c r="G3" t="inlineStr">
        <x:is>
          <x:t xml:space="preserve">D2-科研与工程资源</x:t>
        </x:is>
      </x:c>
      <x:c r="H3" t="inlineStr">
        <x:is>
          <x:t xml:space="preserve">校级超算平台;国家人工智能产教融合创新平台(北邮);'智能机器人与系统'省部级重点实验室;DeepTouch Lab具身触觉实验平台;文旅部交互技术与体验系统重点实验室。</x:t>
        </x:is>
      </x:c>
      <x:c r="I3" t="inlineStr">
        <x:is>
          <x:t xml:space="preserve">S13;S14;S15;S09;S10;S16</x:t>
        </x:is>
      </x:c>
      <x:c r="J3" t="inlineStr">
        <x:is>
          <x:t xml:space="preserve">S2</x:t>
        </x:is>
      </x:c>
      <x:c r="K3" t="inlineStr">
        <x:is>
          <x:t xml:space="preserve">P3</x:t>
        </x:is>
      </x:c>
      <x:c r="L3" t="inlineStr">
        <x:is>
          <x:t xml:space="preserve">已证实(资源存在)</x:t>
        </x:is>
      </x:c>
      <x:c r="M3" t="inlineStr">
        <x:is>
          <x:t xml:space="preserve">仅学院/专业级关联；未证该方向或导师可进入；不得自动打分；北邮方向01/02证据需分方向核验</x:t>
        </x:is>
      </x:c>
      <x:c r="N3" t="inlineStr">
        <x:is>
          <x:t xml:space="preserve">待人工评价</x:t>
        </x:is>
      </x:c>
    </x:row>
    <x:row r="4">
      <x:c r="A4" t="inlineStr">
        <x:is>
          <x:t xml:space="preserve">P01</x:t>
        </x:is>
      </x:c>
      <x:c r="B4" t="inlineStr">
        <x:is>
          <x:t xml:space="preserve">北京邮电大学</x:t>
        </x:is>
      </x:c>
      <x:c r="C4" t="inlineStr">
        <x:is>
          <x:t xml:space="preserve">005</x:t>
        </x:is>
      </x:c>
      <x:c r="D4" t="inlineStr">
        <x:is>
          <x:t xml:space="preserve">085410</x:t>
        </x:is>
      </x:c>
      <x:c r="E4" t="inlineStr">
        <x:is>
          <x:t xml:space="preserve">产业合作可参与性</x:t>
        </x:is>
      </x:c>
      <x:c r="F4" t="inlineStr">
        <x:is>
          <x:t xml:space="preserve">2D资源</x:t>
        </x:is>
      </x:c>
      <x:c r="G4" t="inlineStr">
        <x:is>
          <x:t xml:space="preserve">D2-科研与工程资源</x:t>
        </x:is>
      </x:c>
      <x:c r="H4" t="inlineStr">
        <x:is>
          <x:t xml:space="preserve">具身智能产业合作:优必选、智元机器人、擎朗智能、五八智能科技。</x:t>
        </x:is>
      </x:c>
      <x:c r="I4" t="inlineStr">
        <x:is>
          <x:t xml:space="preserve">S10;S16</x:t>
        </x:is>
      </x:c>
      <x:c r="J4" t="inlineStr">
        <x:is>
          <x:t xml:space="preserve">S3</x:t>
        </x:is>
      </x:c>
      <x:c r="K4" t="inlineStr">
        <x:is>
          <x:t xml:space="preserve">P3</x:t>
        </x:is>
      </x:c>
      <x:c r="L4" t="inlineStr">
        <x:is>
          <x:t xml:space="preserve">已证实(合作存在)</x:t>
        </x:is>
      </x:c>
      <x:c r="M4" t="inlineStr">
        <x:is>
          <x:t xml:space="preserve">仅学院/专业级关联；未证该方向或导师可进入；不得自动打分；北邮方向01/02证据需分方向核验</x:t>
        </x:is>
      </x:c>
      <x:c r="N4" t="inlineStr">
        <x:is>
          <x:t xml:space="preserve">待人工评价</x:t>
        </x:is>
      </x:c>
    </x:row>
    <x:row r="5">
      <x:c r="A5" t="inlineStr">
        <x:is>
          <x:t xml:space="preserve">P01</x:t>
        </x:is>
      </x:c>
      <x:c r="B5" t="inlineStr">
        <x:is>
          <x:t xml:space="preserve">北京邮电大学</x:t>
        </x:is>
      </x:c>
      <x:c r="C5" t="inlineStr">
        <x:is>
          <x:t xml:space="preserve">005</x:t>
        </x:is>
      </x:c>
      <x:c r="D5" t="inlineStr">
        <x:is>
          <x:t xml:space="preserve">085410</x:t>
        </x:is>
      </x:c>
      <x:c r="E5" t="inlineStr">
        <x:is>
          <x:t xml:space="preserve">Agent/LLM能力积累</x:t>
        </x:is>
      </x:c>
      <x:c r="F5" t="inlineStr">
        <x:is>
          <x:t xml:space="preserve">2D资源</x:t>
        </x:is>
      </x:c>
      <x:c r="G5" t="inlineStr">
        <x:is>
          <x:t xml:space="preserve">D1-AI科研方向匹配</x:t>
        </x:is>
      </x:c>
      <x:c r="H5" t="inlineStr">
        <x:is>
          <x:t xml:space="preserve">方斌=具身智能/机器人触觉/灵巧操作(DeepTouch Lab);徐士彪=多模态AI/空间计算与模型蒸馏(VLA);郭迪=具身智能/智能机器人;王小捷团队=NLP/大语言模型/多模态对话。方向覆盖LLM/多模态/具身/机器人。</x:t>
        </x:is>
      </x:c>
      <x:c r="I5" t="inlineStr">
        <x:is>
          <x:t xml:space="preserve">S-BUPT-M1;S-BUPT-S10;S-BUPT-H1</x:t>
        </x:is>
      </x:c>
      <x:c r="J5" t="inlineStr">
        <x:is>
          <x:t xml:space="preserve">S2</x:t>
        </x:is>
      </x:c>
      <x:c r="K5" t="inlineStr">
        <x:is>
          <x:t xml:space="preserve">P2</x:t>
        </x:is>
      </x:c>
      <x:c r="L5" t="inlineStr">
        <x:is>
          <x:t xml:space="preserve">已证实(方向)</x:t>
        </x:is>
      </x:c>
      <x:c r="M5" t="inlineStr">
        <x:is>
          <x:t xml:space="preserve">仅学院/专业级关联；未证该方向或导师可进入；不得自动打分；北邮方向01/02证据需分方向核验</x:t>
        </x:is>
      </x:c>
      <x:c r="N5" t="inlineStr">
        <x:is>
          <x:t xml:space="preserve">待人工评价</x:t>
        </x:is>
      </x:c>
    </x:row>
    <x:row r="6">
      <x:c r="A6" t="inlineStr">
        <x:is>
          <x:t xml:space="preserve">P01</x:t>
        </x:is>
      </x:c>
      <x:c r="B6" t="inlineStr">
        <x:is>
          <x:t xml:space="preserve">北京邮电大学</x:t>
        </x:is>
      </x:c>
      <x:c r="C6" t="inlineStr">
        <x:is>
          <x:t xml:space="preserve">005</x:t>
        </x:is>
      </x:c>
      <x:c r="D6" t="inlineStr">
        <x:is>
          <x:t xml:space="preserve">085410</x:t>
        </x:is>
      </x:c>
      <x:c r="E6" t="inlineStr">
        <x:is>
          <x:t xml:space="preserve">Agent/LLM能力积累</x:t>
        </x:is>
      </x:c>
      <x:c r="F6" t="inlineStr">
        <x:is>
          <x:t xml:space="preserve">2D资源</x:t>
        </x:is>
      </x:c>
      <x:c r="G6" t="inlineStr">
        <x:is>
          <x:t xml:space="preserve">D1-AI科研方向匹配</x:t>
        </x:is>
      </x:c>
      <x:c r="H6" t="inlineStr">
        <x:is>
          <x:t xml:space="preserve">学院8个教研中心/团队覆盖智能信息处理、模式识别、NLP、数据挖掘、具身智能;含郭军团队、王小捷团队、杨洁团队、DeepTouch Lab、智能机器人与系统方向团队。</x:t>
        </x:is>
      </x:c>
      <x:c r="I6" t="inlineStr">
        <x:is>
          <x:t xml:space="preserve">S03;S-BUPT-S10;S-BUPT-S16</x:t>
        </x:is>
      </x:c>
      <x:c r="J6" t="inlineStr">
        <x:is>
          <x:t xml:space="preserve">S2</x:t>
        </x:is>
      </x:c>
      <x:c r="K6" t="inlineStr">
        <x:is>
          <x:t xml:space="preserve">P2</x:t>
        </x:is>
      </x:c>
      <x:c r="L6" t="inlineStr">
        <x:is>
          <x:t xml:space="preserve">已证实(方向)</x:t>
        </x:is>
      </x:c>
      <x:c r="M6" t="inlineStr">
        <x:is>
          <x:t xml:space="preserve">仅学院/专业级关联；未证该方向或导师可进入；不得自动打分；北邮方向01/02证据需分方向核验</x:t>
        </x:is>
      </x:c>
      <x:c r="N6" t="inlineStr">
        <x:is>
          <x:t xml:space="preserve">待人工评价</x:t>
        </x:is>
      </x:c>
    </x:row>
    <x:row r="7">
      <x:c r="A7" t="inlineStr">
        <x:is>
          <x:t xml:space="preserve">P01</x:t>
        </x:is>
      </x:c>
      <x:c r="B7" t="inlineStr">
        <x:is>
          <x:t xml:space="preserve">北京邮电大学</x:t>
        </x:is>
      </x:c>
      <x:c r="C7" t="inlineStr">
        <x:is>
          <x:t xml:space="preserve">005</x:t>
        </x:is>
      </x:c>
      <x:c r="D7" t="inlineStr">
        <x:is>
          <x:t xml:space="preserve">085410</x:t>
        </x:is>
      </x:c>
      <x:c r="E7" t="inlineStr">
        <x:is>
          <x:t xml:space="preserve">具身/机器人发展空间</x:t>
        </x:is>
      </x:c>
      <x:c r="F7" t="inlineStr">
        <x:is>
          <x:t xml:space="preserve">2D资源</x:t>
        </x:is>
      </x:c>
      <x:c r="G7" t="inlineStr">
        <x:is>
          <x:t xml:space="preserve">D1-AI科研方向匹配</x:t>
        </x:is>
      </x:c>
      <x:c r="H7" t="inlineStr">
        <x:is>
          <x:t xml:space="preserve">方斌=具身智能/机器人触觉/灵巧操作(DeepTouch Lab);徐士彪=多模态AI/空间计算与模型蒸馏(VLA);郭迪=具身智能/智能机器人;王小捷团队=NLP/大语言模型/多模态对话。方向覆盖LLM/多模态/具身/机器人。</x:t>
        </x:is>
      </x:c>
      <x:c r="I7" t="inlineStr">
        <x:is>
          <x:t xml:space="preserve">S-BUPT-M1;S-BUPT-S10;S-BUPT-H1</x:t>
        </x:is>
      </x:c>
      <x:c r="J7" t="inlineStr">
        <x:is>
          <x:t xml:space="preserve">S2</x:t>
        </x:is>
      </x:c>
      <x:c r="K7" t="inlineStr">
        <x:is>
          <x:t xml:space="preserve">P2</x:t>
        </x:is>
      </x:c>
      <x:c r="L7" t="inlineStr">
        <x:is>
          <x:t xml:space="preserve">已证实(方向)</x:t>
        </x:is>
      </x:c>
      <x:c r="M7" t="inlineStr">
        <x:is>
          <x:t xml:space="preserve">仅学院/专业级关联；未证该方向或导师可进入；不得自动打分；北邮方向01/02证据需分方向核验</x:t>
        </x:is>
      </x:c>
      <x:c r="N7" t="inlineStr">
        <x:is>
          <x:t xml:space="preserve">待人工评价</x:t>
        </x:is>
      </x:c>
    </x:row>
    <x:row r="8">
      <x:c r="A8" t="inlineStr">
        <x:is>
          <x:t xml:space="preserve">P01</x:t>
        </x:is>
      </x:c>
      <x:c r="B8" t="inlineStr">
        <x:is>
          <x:t xml:space="preserve">北京邮电大学</x:t>
        </x:is>
      </x:c>
      <x:c r="C8" t="inlineStr">
        <x:is>
          <x:t xml:space="preserve">005</x:t>
        </x:is>
      </x:c>
      <x:c r="D8" t="inlineStr">
        <x:is>
          <x:t xml:space="preserve">085410</x:t>
        </x:is>
      </x:c>
      <x:c r="E8" t="inlineStr">
        <x:is>
          <x:t xml:space="preserve">具身/机器人发展空间</x:t>
        </x:is>
      </x:c>
      <x:c r="F8" t="inlineStr">
        <x:is>
          <x:t xml:space="preserve">2D资源</x:t>
        </x:is>
      </x:c>
      <x:c r="G8" t="inlineStr">
        <x:is>
          <x:t xml:space="preserve">D1-AI科研方向匹配</x:t>
        </x:is>
      </x:c>
      <x:c r="H8" t="inlineStr">
        <x:is>
          <x:t xml:space="preserve">学院8个教研中心/团队覆盖智能信息处理、模式识别、NLP、数据挖掘、具身智能;含郭军团队、王小捷团队、杨洁团队、DeepTouch Lab、智能机器人与系统方向团队。</x:t>
        </x:is>
      </x:c>
      <x:c r="I8" t="inlineStr">
        <x:is>
          <x:t xml:space="preserve">S03;S-BUPT-S10;S-BUPT-S16</x:t>
        </x:is>
      </x:c>
      <x:c r="J8" t="inlineStr">
        <x:is>
          <x:t xml:space="preserve">S2</x:t>
        </x:is>
      </x:c>
      <x:c r="K8" t="inlineStr">
        <x:is>
          <x:t xml:space="preserve">P2</x:t>
        </x:is>
      </x:c>
      <x:c r="L8" t="inlineStr">
        <x:is>
          <x:t xml:space="preserve">已证实(方向)</x:t>
        </x:is>
      </x:c>
      <x:c r="M8" t="inlineStr">
        <x:is>
          <x:t xml:space="preserve">仅学院/专业级关联；未证该方向或导师可进入；不得自动打分；北邮方向01/02证据需分方向核验</x:t>
        </x:is>
      </x:c>
      <x:c r="N8" t="inlineStr">
        <x:is>
          <x:t xml:space="preserve">待人工评价</x:t>
        </x:is>
      </x:c>
    </x:row>
    <x:row r="9">
      <x:c r="A9" t="inlineStr">
        <x:is>
          <x:t xml:space="preserve">P01</x:t>
        </x:is>
      </x:c>
      <x:c r="B9" t="inlineStr">
        <x:is>
          <x:t xml:space="preserve">北京邮电大学</x:t>
        </x:is>
      </x:c>
      <x:c r="C9" t="inlineStr">
        <x:is>
          <x:t xml:space="preserve">005</x:t>
        </x:is>
      </x:c>
      <x:c r="D9" t="inlineStr">
        <x:is>
          <x:t xml:space="preserve">085410</x:t>
        </x:is>
      </x:c>
      <x:c r="E9" t="inlineStr">
        <x:is>
          <x:t xml:space="preserve">全日制统考路径明确性</x:t>
        </x:is>
      </x:c>
      <x:c r="F9" t="inlineStr">
        <x:is>
          <x:t xml:space="preserve">2D风险</x:t>
        </x:is>
      </x:c>
      <x:c r="G9" t="inlineStr">
        <x:is>
          <x:t xml:space="preserve">初试科目变化</x:t>
        </x:is>
      </x:c>
      <x:c r="H9" t="inlineStr">
        <x:is>
          <x:t xml:space="preserve">方向02人工智能与大数据第四单元:809数据结构→408计算机学科专业基础(全国统考)</x:t>
        </x:is>
      </x:c>
      <x:c r="I9" t="inlineStr">
        <x:is>
          <x:t xml:space="preserve">S-BUPT-M2</x:t>
        </x:is>
      </x:c>
      <x:c r="J9" t="inlineStr">
        <x:is>
          <x:t xml:space="preserve">S1</x:t>
        </x:is>
      </x:c>
      <x:c r="K9" t="inlineStr">
        <x:is>
          <x:t xml:space="preserve">不适用</x:t>
        </x:is>
      </x:c>
      <x:c r="L9" t="inlineStr">
        <x:is>
          <x:t xml:space="preserve">已证实</x:t>
        </x:is>
      </x:c>
      <x:c r="M9" t="inlineStr">
        <x:is>
          <x:t xml:space="preserve">年份/方向/计划口径须再核对；仅作为评分候选</x:t>
        </x:is>
      </x:c>
      <x:c r="N9" t="inlineStr">
        <x:is>
          <x:t xml:space="preserve">待人工评价</x:t>
        </x:is>
      </x:c>
    </x:row>
    <x:row r="10">
      <x:c r="A10" t="inlineStr">
        <x:is>
          <x:t xml:space="preserve">P01</x:t>
        </x:is>
      </x:c>
      <x:c r="B10" t="inlineStr">
        <x:is>
          <x:t xml:space="preserve">北京邮电大学</x:t>
        </x:is>
      </x:c>
      <x:c r="C10" t="inlineStr">
        <x:is>
          <x:t xml:space="preserve">005</x:t>
        </x:is>
      </x:c>
      <x:c r="D10" t="inlineStr">
        <x:is>
          <x:t xml:space="preserve">085410</x:t>
        </x:is>
      </x:c>
      <x:c r="E10" t="inlineStr">
        <x:is>
          <x:t xml:space="preserve">全日制统考路径明确性</x:t>
        </x:is>
      </x:c>
      <x:c r="F10" t="inlineStr">
        <x:is>
          <x:t xml:space="preserve">2D风险</x:t>
        </x:is>
      </x:c>
      <x:c r="G10" t="inlineStr">
        <x:is>
          <x:t xml:space="preserve">初试科目变化</x:t>
        </x:is>
      </x:c>
      <x:c r="H10" t="inlineStr">
        <x:is>
          <x:t xml:space="preserve">方向01人工智能与信息网络第四单元维持801通信原理(未变更)</x:t>
        </x:is>
      </x:c>
      <x:c r="I10" t="inlineStr">
        <x:is>
          <x:t xml:space="preserve">S-BUPT-M2</x:t>
        </x:is>
      </x:c>
      <x:c r="J10" t="inlineStr">
        <x:is>
          <x:t xml:space="preserve">S1</x:t>
        </x:is>
      </x:c>
      <x:c r="K10" t="inlineStr">
        <x:is>
          <x:t xml:space="preserve">不适用</x:t>
        </x:is>
      </x:c>
      <x:c r="L10" t="inlineStr">
        <x:is>
          <x:t xml:space="preserve">已证实</x:t>
        </x:is>
      </x:c>
      <x:c r="M10" t="inlineStr">
        <x:is>
          <x:t xml:space="preserve">年份/方向/计划口径须再核对；仅作为评分候选</x:t>
        </x:is>
      </x:c>
      <x:c r="N10" t="inlineStr">
        <x:is>
          <x:t xml:space="preserve">待人工评价</x:t>
        </x:is>
      </x:c>
    </x:row>
    <x:row r="11">
      <x:c r="A11" t="inlineStr">
        <x:is>
          <x:t xml:space="preserve">P01</x:t>
        </x:is>
      </x:c>
      <x:c r="B11" t="inlineStr">
        <x:is>
          <x:t xml:space="preserve">北京邮电大学</x:t>
        </x:is>
      </x:c>
      <x:c r="C11" t="inlineStr">
        <x:is>
          <x:t xml:space="preserve">005</x:t>
        </x:is>
      </x:c>
      <x:c r="D11" t="inlineStr">
        <x:is>
          <x:t xml:space="preserve">085410</x:t>
        </x:is>
      </x:c>
      <x:c r="E11" t="inlineStr">
        <x:is>
          <x:t xml:space="preserve">名额口径可靠性</x:t>
        </x:is>
      </x:c>
      <x:c r="F11" t="inlineStr">
        <x:is>
          <x:t xml:space="preserve">2D风险</x:t>
        </x:is>
      </x:c>
      <x:c r="G11" t="inlineStr">
        <x:is>
          <x:t xml:space="preserve">初试科目变化</x:t>
        </x:is>
      </x:c>
      <x:c r="H11" t="inlineStr">
        <x:is>
          <x:t xml:space="preserve">方向02人工智能与大数据第四单元:809数据结构→408计算机学科专业基础(全国统考)</x:t>
        </x:is>
      </x:c>
      <x:c r="I11" t="inlineStr">
        <x:is>
          <x:t xml:space="preserve">S-BUPT-M2</x:t>
        </x:is>
      </x:c>
      <x:c r="J11" t="inlineStr">
        <x:is>
          <x:t xml:space="preserve">S1</x:t>
        </x:is>
      </x:c>
      <x:c r="K11" t="inlineStr">
        <x:is>
          <x:t xml:space="preserve">不适用</x:t>
        </x:is>
      </x:c>
      <x:c r="L11" t="inlineStr">
        <x:is>
          <x:t xml:space="preserve">已证实</x:t>
        </x:is>
      </x:c>
      <x:c r="M11" t="inlineStr">
        <x:is>
          <x:t xml:space="preserve">年份/方向/计划口径须再核对；仅作为评分候选</x:t>
        </x:is>
      </x:c>
      <x:c r="N11" t="inlineStr">
        <x:is>
          <x:t xml:space="preserve">待人工评价</x:t>
        </x:is>
      </x:c>
    </x:row>
    <x:row r="12">
      <x:c r="A12" t="inlineStr">
        <x:is>
          <x:t xml:space="preserve">P01</x:t>
        </x:is>
      </x:c>
      <x:c r="B12" t="inlineStr">
        <x:is>
          <x:t xml:space="preserve">北京邮电大学</x:t>
        </x:is>
      </x:c>
      <x:c r="C12" t="inlineStr">
        <x:is>
          <x:t xml:space="preserve">005</x:t>
        </x:is>
      </x:c>
      <x:c r="D12" t="inlineStr">
        <x:is>
          <x:t xml:space="preserve">085410</x:t>
        </x:is>
      </x:c>
      <x:c r="E12" t="inlineStr">
        <x:is>
          <x:t xml:space="preserve">名额口径可靠性</x:t>
        </x:is>
      </x:c>
      <x:c r="F12" t="inlineStr">
        <x:is>
          <x:t xml:space="preserve">2D风险</x:t>
        </x:is>
      </x:c>
      <x:c r="G12" t="inlineStr">
        <x:is>
          <x:t xml:space="preserve">初试科目变化</x:t>
        </x:is>
      </x:c>
      <x:c r="H12" t="inlineStr">
        <x:is>
          <x:t xml:space="preserve">方向01人工智能与信息网络第四单元维持801通信原理(未变更)</x:t>
        </x:is>
      </x:c>
      <x:c r="I12" t="inlineStr">
        <x:is>
          <x:t xml:space="preserve">S-BUPT-M2</x:t>
        </x:is>
      </x:c>
      <x:c r="J12" t="inlineStr">
        <x:is>
          <x:t xml:space="preserve">S1</x:t>
        </x:is>
      </x:c>
      <x:c r="K12" t="inlineStr">
        <x:is>
          <x:t xml:space="preserve">不适用</x:t>
        </x:is>
      </x:c>
      <x:c r="L12" t="inlineStr">
        <x:is>
          <x:t xml:space="preserve">已证实</x:t>
        </x:is>
      </x:c>
      <x:c r="M12" t="inlineStr">
        <x:is>
          <x:t xml:space="preserve">年份/方向/计划口径须再核对；仅作为评分候选</x:t>
        </x:is>
      </x:c>
      <x:c r="N12" t="inlineStr">
        <x:is>
          <x:t xml:space="preserve">待人工评价</x:t>
        </x:is>
      </x:c>
    </x:row>
    <x:row r="13">
      <x:c r="A13" t="inlineStr">
        <x:is>
          <x:t xml:space="preserve">P01</x:t>
        </x:is>
      </x:c>
      <x:c r="B13" t="inlineStr">
        <x:is>
          <x:t xml:space="preserve">北京邮电大学</x:t>
        </x:is>
      </x:c>
      <x:c r="C13" t="inlineStr">
        <x:is>
          <x:t xml:space="preserve">005</x:t>
        </x:is>
      </x:c>
      <x:c r="D13" t="inlineStr">
        <x:is>
          <x:t xml:space="preserve">085410</x:t>
        </x:is>
      </x:c>
      <x:c r="E13" t="inlineStr">
        <x:is>
          <x:t xml:space="preserve">初复试科目稳定性</x:t>
        </x:is>
      </x:c>
      <x:c r="F13" t="inlineStr">
        <x:is>
          <x:t xml:space="preserve">2D风险</x:t>
        </x:is>
      </x:c>
      <x:c r="G13" t="inlineStr">
        <x:is>
          <x:t xml:space="preserve">初试科目变化</x:t>
        </x:is>
      </x:c>
      <x:c r="H13" t="inlineStr">
        <x:is>
          <x:t xml:space="preserve">方向02人工智能与大数据第四单元:809数据结构→408计算机学科专业基础(全国统考)</x:t>
        </x:is>
      </x:c>
      <x:c r="I13" t="inlineStr">
        <x:is>
          <x:t xml:space="preserve">S-BUPT-M2</x:t>
        </x:is>
      </x:c>
      <x:c r="J13" t="inlineStr">
        <x:is>
          <x:t xml:space="preserve">S1</x:t>
        </x:is>
      </x:c>
      <x:c r="K13" t="inlineStr">
        <x:is>
          <x:t xml:space="preserve">不适用</x:t>
        </x:is>
      </x:c>
      <x:c r="L13" t="inlineStr">
        <x:is>
          <x:t xml:space="preserve">已证实</x:t>
        </x:is>
      </x:c>
      <x:c r="M13" t="inlineStr">
        <x:is>
          <x:t xml:space="preserve">年份/方向/计划口径须再核对；仅作为评分候选</x:t>
        </x:is>
      </x:c>
      <x:c r="N13" t="inlineStr">
        <x:is>
          <x:t xml:space="preserve">待人工评价</x:t>
        </x:is>
      </x:c>
    </x:row>
    <x:row r="14">
      <x:c r="A14" t="inlineStr">
        <x:is>
          <x:t xml:space="preserve">P01</x:t>
        </x:is>
      </x:c>
      <x:c r="B14" t="inlineStr">
        <x:is>
          <x:t xml:space="preserve">北京邮电大学</x:t>
        </x:is>
      </x:c>
      <x:c r="C14" t="inlineStr">
        <x:is>
          <x:t xml:space="preserve">005</x:t>
        </x:is>
      </x:c>
      <x:c r="D14" t="inlineStr">
        <x:is>
          <x:t xml:space="preserve">085410</x:t>
        </x:is>
      </x:c>
      <x:c r="E14" t="inlineStr">
        <x:is>
          <x:t xml:space="preserve">初复试科目稳定性</x:t>
        </x:is>
      </x:c>
      <x:c r="F14" t="inlineStr">
        <x:is>
          <x:t xml:space="preserve">2D风险</x:t>
        </x:is>
      </x:c>
      <x:c r="G14" t="inlineStr">
        <x:is>
          <x:t xml:space="preserve">初试科目变化</x:t>
        </x:is>
      </x:c>
      <x:c r="H14" t="inlineStr">
        <x:is>
          <x:t xml:space="preserve">方向01人工智能与信息网络第四单元维持801通信原理(未变更)</x:t>
        </x:is>
      </x:c>
      <x:c r="I14" t="inlineStr">
        <x:is>
          <x:t xml:space="preserve">S-BUPT-M2</x:t>
        </x:is>
      </x:c>
      <x:c r="J14" t="inlineStr">
        <x:is>
          <x:t xml:space="preserve">S1</x:t>
        </x:is>
      </x:c>
      <x:c r="K14" t="inlineStr">
        <x:is>
          <x:t xml:space="preserve">不适用</x:t>
        </x:is>
      </x:c>
      <x:c r="L14" t="inlineStr">
        <x:is>
          <x:t xml:space="preserve">已证实</x:t>
        </x:is>
      </x:c>
      <x:c r="M14" t="inlineStr">
        <x:is>
          <x:t xml:space="preserve">年份/方向/计划口径须再核对；仅作为评分候选</x:t>
        </x:is>
      </x:c>
      <x:c r="N14" t="inlineStr">
        <x:is>
          <x:t xml:space="preserve">待人工评价</x:t>
        </x:is>
      </x:c>
    </x:row>
    <x:row r="15">
      <x:c r="A15" t="inlineStr">
        <x:is>
          <x:t xml:space="preserve">P01</x:t>
        </x:is>
      </x:c>
      <x:c r="B15" t="inlineStr">
        <x:is>
          <x:t xml:space="preserve">北京邮电大学</x:t>
        </x:is>
      </x:c>
      <x:c r="C15" t="inlineStr">
        <x:is>
          <x:t xml:space="preserve">005</x:t>
        </x:is>
      </x:c>
      <x:c r="D15" t="inlineStr">
        <x:is>
          <x:t xml:space="preserve">085410</x:t>
        </x:is>
      </x:c>
      <x:c r="E15" t="inlineStr">
        <x:is>
          <x:t xml:space="preserve">复试规则可预期性</x:t>
        </x:is>
      </x:c>
      <x:c r="F15" t="inlineStr">
        <x:is>
          <x:t xml:space="preserve">2D风险</x:t>
        </x:is>
      </x:c>
      <x:c r="G15" t="inlineStr">
        <x:is>
          <x:t xml:space="preserve">初试科目变化</x:t>
        </x:is>
      </x:c>
      <x:c r="H15" t="inlineStr">
        <x:is>
          <x:t xml:space="preserve">方向02人工智能与大数据第四单元:809数据结构→408计算机学科专业基础(全国统考)</x:t>
        </x:is>
      </x:c>
      <x:c r="I15" t="inlineStr">
        <x:is>
          <x:t xml:space="preserve">S-BUPT-M2</x:t>
        </x:is>
      </x:c>
      <x:c r="J15" t="inlineStr">
        <x:is>
          <x:t xml:space="preserve">S1</x:t>
        </x:is>
      </x:c>
      <x:c r="K15" t="inlineStr">
        <x:is>
          <x:t xml:space="preserve">不适用</x:t>
        </x:is>
      </x:c>
      <x:c r="L15" t="inlineStr">
        <x:is>
          <x:t xml:space="preserve">已证实</x:t>
        </x:is>
      </x:c>
      <x:c r="M15" t="inlineStr">
        <x:is>
          <x:t xml:space="preserve">年份/方向/计划口径须再核对；仅作为评分候选</x:t>
        </x:is>
      </x:c>
      <x:c r="N15" t="inlineStr">
        <x:is>
          <x:t xml:space="preserve">待人工评价</x:t>
        </x:is>
      </x:c>
    </x:row>
    <x:row r="16">
      <x:c r="A16" t="inlineStr">
        <x:is>
          <x:t xml:space="preserve">P01</x:t>
        </x:is>
      </x:c>
      <x:c r="B16" t="inlineStr">
        <x:is>
          <x:t xml:space="preserve">北京邮电大学</x:t>
        </x:is>
      </x:c>
      <x:c r="C16" t="inlineStr">
        <x:is>
          <x:t xml:space="preserve">005</x:t>
        </x:is>
      </x:c>
      <x:c r="D16" t="inlineStr">
        <x:is>
          <x:t xml:space="preserve">085410</x:t>
        </x:is>
      </x:c>
      <x:c r="E16" t="inlineStr">
        <x:is>
          <x:t xml:space="preserve">复试规则可预期性</x:t>
        </x:is>
      </x:c>
      <x:c r="F16" t="inlineStr">
        <x:is>
          <x:t xml:space="preserve">2D风险</x:t>
        </x:is>
      </x:c>
      <x:c r="G16" t="inlineStr">
        <x:is>
          <x:t xml:space="preserve">初试科目变化</x:t>
        </x:is>
      </x:c>
      <x:c r="H16" t="inlineStr">
        <x:is>
          <x:t xml:space="preserve">方向01人工智能与信息网络第四单元维持801通信原理(未变更)</x:t>
        </x:is>
      </x:c>
      <x:c r="I16" t="inlineStr">
        <x:is>
          <x:t xml:space="preserve">S-BUPT-M2</x:t>
        </x:is>
      </x:c>
      <x:c r="J16" t="inlineStr">
        <x:is>
          <x:t xml:space="preserve">S1</x:t>
        </x:is>
      </x:c>
      <x:c r="K16" t="inlineStr">
        <x:is>
          <x:t xml:space="preserve">不适用</x:t>
        </x:is>
      </x:c>
      <x:c r="L16" t="inlineStr">
        <x:is>
          <x:t xml:space="preserve">已证实</x:t>
        </x:is>
      </x:c>
      <x:c r="M16" t="inlineStr">
        <x:is>
          <x:t xml:space="preserve">年份/方向/计划口径须再核对；仅作为评分候选</x:t>
        </x:is>
      </x:c>
      <x:c r="N16" t="inlineStr">
        <x:is>
          <x:t xml:space="preserve">待人工评价</x:t>
        </x:is>
      </x:c>
    </x:row>
    <x:row r="17">
      <x:c r="A17" t="inlineStr">
        <x:is>
          <x:t xml:space="preserve">P01</x:t>
        </x:is>
      </x:c>
      <x:c r="B17" t="inlineStr">
        <x:is>
          <x:t xml:space="preserve">北京邮电大学</x:t>
        </x:is>
      </x:c>
      <x:c r="C17" t="inlineStr">
        <x:is>
          <x:t xml:space="preserve">005</x:t>
        </x:is>
      </x:c>
      <x:c r="D17" t="inlineStr">
        <x:is>
          <x:t xml:space="preserve">085410</x:t>
        </x:is>
      </x:c>
      <x:c r="E17" t="inlineStr">
        <x:is>
          <x:t xml:space="preserve">导师招生路径证据</x:t>
        </x:is>
      </x:c>
      <x:c r="F17" t="inlineStr">
        <x:is>
          <x:t xml:space="preserve">2D资源</x:t>
        </x:is>
      </x:c>
      <x:c r="G17" t="inlineStr">
        <x:is>
          <x:t xml:space="preserve">D3-硕士培养可进入性</x:t>
        </x:is>
      </x:c>
      <x:c r="H17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17" t="inlineStr">
        <x:is>
          <x:t xml:space="preserve">S-BUPT-P1</x:t>
        </x:is>
      </x:c>
      <x:c r="J17" t="inlineStr">
        <x:is>
          <x:t xml:space="preserve">S3</x:t>
        </x:is>
      </x:c>
      <x:c r="K17" t="inlineStr">
        <x:is>
          <x:t xml:space="preserve">P1</x:t>
        </x:is>
      </x:c>
      <x:c r="L17" t="inlineStr">
        <x:is>
          <x:t xml:space="preserve">已证实</x:t>
        </x:is>
      </x:c>
      <x:c r="M17" t="inlineStr">
        <x:is>
          <x:t xml:space="preserve">仅学院/专业级关联；未证该方向或导师可进入；不得自动打分；北邮方向01/02证据需分方向核验</x:t>
        </x:is>
      </x:c>
      <x:c r="N17" t="inlineStr">
        <x:is>
          <x:t xml:space="preserve">待人工评价</x:t>
        </x:is>
      </x:c>
    </x:row>
    <x:row r="18">
      <x:c r="A18" t="inlineStr">
        <x:is>
          <x:t xml:space="preserve">P01</x:t>
        </x:is>
      </x:c>
      <x:c r="B18" t="inlineStr">
        <x:is>
          <x:t xml:space="preserve">北京邮电大学</x:t>
        </x:is>
      </x:c>
      <x:c r="C18" t="inlineStr">
        <x:is>
          <x:t xml:space="preserve">005</x:t>
        </x:is>
      </x:c>
      <x:c r="D18" t="inlineStr">
        <x:is>
          <x:t xml:space="preserve">085410</x:t>
        </x:is>
      </x:c>
      <x:c r="E18" t="inlineStr">
        <x:is>
          <x:t xml:space="preserve">导师招生路径证据</x:t>
        </x:is>
      </x:c>
      <x:c r="F18" t="inlineStr">
        <x:is>
          <x:t xml:space="preserve">2D资源</x:t>
        </x:is>
      </x:c>
      <x:c r="G18" t="inlineStr">
        <x:is>
          <x:t xml:space="preserve">D3-硕士培养可进入性</x:t>
        </x:is>
      </x:c>
      <x:c r="H18" t="inlineStr">
        <x:is>
          <x:t xml:space="preserve">王小捷(人工智能系主任)讲述(S3): 北邮'企业联合毕业设计'+校企双导师制,企业导师从(本科)二年级介入;校企联合出题。</x:t>
        </x:is>
      </x:c>
      <x:c r="I18" t="inlineStr">
        <x:is>
          <x:t xml:space="preserve">S-BUPT-P2</x:t>
        </x:is>
      </x:c>
      <x:c r="J18" t="inlineStr">
        <x:is>
          <x:t xml:space="preserve">S3</x:t>
        </x:is>
      </x:c>
      <x:c r="K18" t="inlineStr">
        <x:is>
          <x:t xml:space="preserve">P2</x:t>
        </x:is>
      </x:c>
      <x:c r="L18" t="inlineStr">
        <x:is>
          <x:t xml:space="preserve">已证实</x:t>
        </x:is>
      </x:c>
      <x:c r="M18" t="inlineStr">
        <x:is>
          <x:t xml:space="preserve">仅学院/专业级关联；未证该方向或导师可进入；不得自动打分；北邮方向01/02证据需分方向核验</x:t>
        </x:is>
      </x:c>
      <x:c r="N18" t="inlineStr">
        <x:is>
          <x:t xml:space="preserve">待人工评价</x:t>
        </x:is>
      </x:c>
    </x:row>
    <x:row r="19">
      <x:c r="A19" t="inlineStr">
        <x:is>
          <x:t xml:space="preserve">P01</x:t>
        </x:is>
      </x:c>
      <x:c r="B19" t="inlineStr">
        <x:is>
          <x:t xml:space="preserve">北京邮电大学</x:t>
        </x:is>
      </x:c>
      <x:c r="C19" t="inlineStr">
        <x:is>
          <x:t xml:space="preserve">005</x:t>
        </x:is>
      </x:c>
      <x:c r="D19" t="inlineStr">
        <x:is>
          <x:t xml:space="preserve">085410</x:t>
        </x:is>
      </x:c>
      <x:c r="E19" t="inlineStr">
        <x:is>
          <x:t xml:space="preserve">导师招生路径证据</x:t>
        </x:is>
      </x:c>
      <x:c r="F19" t="inlineStr">
        <x:is>
          <x:t xml:space="preserve">2D风险</x:t>
        </x:is>
      </x:c>
      <x:c r="G19" t="inlineStr">
        <x:is>
          <x:t xml:space="preserve">初试科目变化</x:t>
        </x:is>
      </x:c>
      <x:c r="H19" t="inlineStr">
        <x:is>
          <x:t xml:space="preserve">方向02人工智能与大数据第四单元:809数据结构→408计算机学科专业基础(全国统考)</x:t>
        </x:is>
      </x:c>
      <x:c r="I19" t="inlineStr">
        <x:is>
          <x:t xml:space="preserve">S-BUPT-M2</x:t>
        </x:is>
      </x:c>
      <x:c r="J19" t="inlineStr">
        <x:is>
          <x:t xml:space="preserve">S1</x:t>
        </x:is>
      </x:c>
      <x:c r="K19" t="inlineStr">
        <x:is>
          <x:t xml:space="preserve">不适用</x:t>
        </x:is>
      </x:c>
      <x:c r="L19" t="inlineStr">
        <x:is>
          <x:t xml:space="preserve">已证实</x:t>
        </x:is>
      </x:c>
      <x:c r="M19" t="inlineStr">
        <x:is>
          <x:t xml:space="preserve">年份/方向/计划口径须再核对；仅作为评分候选</x:t>
        </x:is>
      </x:c>
      <x:c r="N19" t="inlineStr">
        <x:is>
          <x:t xml:space="preserve">待人工评价</x:t>
        </x:is>
      </x:c>
    </x:row>
    <x:row r="20">
      <x:c r="A20" t="inlineStr">
        <x:is>
          <x:t xml:space="preserve">P01</x:t>
        </x:is>
      </x:c>
      <x:c r="B20" t="inlineStr">
        <x:is>
          <x:t xml:space="preserve">北京邮电大学</x:t>
        </x:is>
      </x:c>
      <x:c r="C20" t="inlineStr">
        <x:is>
          <x:t xml:space="preserve">005</x:t>
        </x:is>
      </x:c>
      <x:c r="D20" t="inlineStr">
        <x:is>
          <x:t xml:space="preserve">085410</x:t>
        </x:is>
      </x:c>
      <x:c r="E20" t="inlineStr">
        <x:is>
          <x:t xml:space="preserve">导师招生路径证据</x:t>
        </x:is>
      </x:c>
      <x:c r="F20" t="inlineStr">
        <x:is>
          <x:t xml:space="preserve">2D风险</x:t>
        </x:is>
      </x:c>
      <x:c r="G20" t="inlineStr">
        <x:is>
          <x:t xml:space="preserve">初试科目变化</x:t>
        </x:is>
      </x:c>
      <x:c r="H20" t="inlineStr">
        <x:is>
          <x:t xml:space="preserve">方向01人工智能与信息网络第四单元维持801通信原理(未变更)</x:t>
        </x:is>
      </x:c>
      <x:c r="I20" t="inlineStr">
        <x:is>
          <x:t xml:space="preserve">S-BUPT-M2</x:t>
        </x:is>
      </x:c>
      <x:c r="J20" t="inlineStr">
        <x:is>
          <x:t xml:space="preserve">S1</x:t>
        </x:is>
      </x:c>
      <x:c r="K20" t="inlineStr">
        <x:is>
          <x:t xml:space="preserve">不适用</x:t>
        </x:is>
      </x:c>
      <x:c r="L20" t="inlineStr">
        <x:is>
          <x:t xml:space="preserve">已证实</x:t>
        </x:is>
      </x:c>
      <x:c r="M20" t="inlineStr">
        <x:is>
          <x:t xml:space="preserve">年份/方向/计划口径须再核对；仅作为评分候选</x:t>
        </x:is>
      </x:c>
      <x:c r="N20" t="inlineStr">
        <x:is>
          <x:t xml:space="preserve">待人工评价</x:t>
        </x:is>
      </x:c>
    </x:row>
    <x:row r="21">
      <x:c r="A21" t="inlineStr">
        <x:is>
          <x:t xml:space="preserve">P01</x:t>
        </x:is>
      </x:c>
      <x:c r="B21" t="inlineStr">
        <x:is>
          <x:t xml:space="preserve">北京邮电大学</x:t>
        </x:is>
      </x:c>
      <x:c r="C21" t="inlineStr">
        <x:is>
          <x:t xml:space="preserve">005</x:t>
        </x:is>
      </x:c>
      <x:c r="D21" t="inlineStr">
        <x:is>
          <x:t xml:space="preserve">085410</x:t>
        </x:is>
      </x:c>
      <x:c r="E21" t="inlineStr">
        <x:is>
          <x:t xml:space="preserve">实践机制适用性</x:t>
        </x:is>
      </x:c>
      <x:c r="F21" t="inlineStr">
        <x:is>
          <x:t xml:space="preserve">2D资源</x:t>
        </x:is>
      </x:c>
      <x:c r="G21" t="inlineStr">
        <x:is>
          <x:t xml:space="preserve">D3-硕士培养可进入性</x:t>
        </x:is>
      </x:c>
      <x:c r="H21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21" t="inlineStr">
        <x:is>
          <x:t xml:space="preserve">S-BUPT-P1</x:t>
        </x:is>
      </x:c>
      <x:c r="J21" t="inlineStr">
        <x:is>
          <x:t xml:space="preserve">S3</x:t>
        </x:is>
      </x:c>
      <x:c r="K21" t="inlineStr">
        <x:is>
          <x:t xml:space="preserve">P1</x:t>
        </x:is>
      </x:c>
      <x:c r="L21" t="inlineStr">
        <x:is>
          <x:t xml:space="preserve">已证实</x:t>
        </x:is>
      </x:c>
      <x:c r="M21" t="inlineStr">
        <x:is>
          <x:t xml:space="preserve">仅学院/专业级关联；未证该方向或导师可进入；不得自动打分；北邮方向01/02证据需分方向核验</x:t>
        </x:is>
      </x:c>
      <x:c r="N21" t="inlineStr">
        <x:is>
          <x:t xml:space="preserve">待人工评价</x:t>
        </x:is>
      </x:c>
    </x:row>
    <x:row r="22">
      <x:c r="A22" t="inlineStr">
        <x:is>
          <x:t xml:space="preserve">P01</x:t>
        </x:is>
      </x:c>
      <x:c r="B22" t="inlineStr">
        <x:is>
          <x:t xml:space="preserve">北京邮电大学</x:t>
        </x:is>
      </x:c>
      <x:c r="C22" t="inlineStr">
        <x:is>
          <x:t xml:space="preserve">005</x:t>
        </x:is>
      </x:c>
      <x:c r="D22" t="inlineStr">
        <x:is>
          <x:t xml:space="preserve">085410</x:t>
        </x:is>
      </x:c>
      <x:c r="E22" t="inlineStr">
        <x:is>
          <x:t xml:space="preserve">实践机制适用性</x:t>
        </x:is>
      </x:c>
      <x:c r="F22" t="inlineStr">
        <x:is>
          <x:t xml:space="preserve">2D资源</x:t>
        </x:is>
      </x:c>
      <x:c r="G22" t="inlineStr">
        <x:is>
          <x:t xml:space="preserve">D3-硕士培养可进入性</x:t>
        </x:is>
      </x:c>
      <x:c r="H22" t="inlineStr">
        <x:is>
          <x:t xml:space="preserve">王小捷(人工智能系主任)讲述(S3): 北邮'企业联合毕业设计'+校企双导师制,企业导师从(本科)二年级介入;校企联合出题。</x:t>
        </x:is>
      </x:c>
      <x:c r="I22" t="inlineStr">
        <x:is>
          <x:t xml:space="preserve">S-BUPT-P2</x:t>
        </x:is>
      </x:c>
      <x:c r="J22" t="inlineStr">
        <x:is>
          <x:t xml:space="preserve">S3</x:t>
        </x:is>
      </x:c>
      <x:c r="K22" t="inlineStr">
        <x:is>
          <x:t xml:space="preserve">P2</x:t>
        </x:is>
      </x:c>
      <x:c r="L22" t="inlineStr">
        <x:is>
          <x:t xml:space="preserve">已证实</x:t>
        </x:is>
      </x:c>
      <x:c r="M22" t="inlineStr">
        <x:is>
          <x:t xml:space="preserve">仅学院/专业级关联；未证该方向或导师可进入；不得自动打分；北邮方向01/02证据需分方向核验</x:t>
        </x:is>
      </x:c>
      <x:c r="N22" t="inlineStr">
        <x:is>
          <x:t xml:space="preserve">待人工评价</x:t>
        </x:is>
      </x:c>
    </x:row>
    <x:row r="23">
      <x:c r="A23" t="inlineStr">
        <x:is>
          <x:t xml:space="preserve">P01</x:t>
        </x:is>
      </x:c>
      <x:c r="B23" t="inlineStr">
        <x:is>
          <x:t xml:space="preserve">北京邮电大学</x:t>
        </x:is>
      </x:c>
      <x:c r="C23" t="inlineStr">
        <x:is>
          <x:t xml:space="preserve">005</x:t>
        </x:is>
      </x:c>
      <x:c r="D23" t="inlineStr">
        <x:is>
          <x:t xml:space="preserve">085410</x:t>
        </x:is>
      </x:c>
      <x:c r="E23" t="inlineStr">
        <x:is>
          <x:t xml:space="preserve">平台资源可进入性</x:t>
        </x:is>
      </x:c>
      <x:c r="F23" t="inlineStr">
        <x:is>
          <x:t xml:space="preserve">2D资源</x:t>
        </x:is>
      </x:c>
      <x:c r="G23" t="inlineStr">
        <x:is>
          <x:t xml:space="preserve">D2-科研与工程资源</x:t>
        </x:is>
      </x:c>
      <x:c r="H23" t="inlineStr">
        <x:is>
          <x:t xml:space="preserve">校级超算平台;国家人工智能产教融合创新平台(北邮);'智能机器人与系统'省部级重点实验室;DeepTouch Lab具身触觉实验平台;文旅部交互技术与体验系统重点实验室。</x:t>
        </x:is>
      </x:c>
      <x:c r="I23" t="inlineStr">
        <x:is>
          <x:t xml:space="preserve">S13;S14;S15;S09;S10;S16</x:t>
        </x:is>
      </x:c>
      <x:c r="J23" t="inlineStr">
        <x:is>
          <x:t xml:space="preserve">S2</x:t>
        </x:is>
      </x:c>
      <x:c r="K23" t="inlineStr">
        <x:is>
          <x:t xml:space="preserve">P3</x:t>
        </x:is>
      </x:c>
      <x:c r="L23" t="inlineStr">
        <x:is>
          <x:t xml:space="preserve">已证实(资源存在)</x:t>
        </x:is>
      </x:c>
      <x:c r="M23" t="inlineStr">
        <x:is>
          <x:t xml:space="preserve">仅学院/专业级关联；未证该方向或导师可进入；不得自动打分；北邮方向01/02证据需分方向核验</x:t>
        </x:is>
      </x:c>
      <x:c r="N23" t="inlineStr">
        <x:is>
          <x:t xml:space="preserve">待人工评价</x:t>
        </x:is>
      </x:c>
    </x:row>
    <x:row r="24">
      <x:c r="A24" t="inlineStr">
        <x:is>
          <x:t xml:space="preserve">P01</x:t>
        </x:is>
      </x:c>
      <x:c r="B24" t="inlineStr">
        <x:is>
          <x:t xml:space="preserve">北京邮电大学</x:t>
        </x:is>
      </x:c>
      <x:c r="C24" t="inlineStr">
        <x:is>
          <x:t xml:space="preserve">005</x:t>
        </x:is>
      </x:c>
      <x:c r="D24" t="inlineStr">
        <x:is>
          <x:t xml:space="preserve">085410</x:t>
        </x:is>
      </x:c>
      <x:c r="E24" t="inlineStr">
        <x:is>
          <x:t xml:space="preserve">平台资源可进入性</x:t>
        </x:is>
      </x:c>
      <x:c r="F24" t="inlineStr">
        <x:is>
          <x:t xml:space="preserve">2D资源</x:t>
        </x:is>
      </x:c>
      <x:c r="G24" t="inlineStr">
        <x:is>
          <x:t xml:space="preserve">D2-科研与工程资源</x:t>
        </x:is>
      </x:c>
      <x:c r="H24" t="inlineStr">
        <x:is>
          <x:t xml:space="preserve">具身智能产业合作:优必选、智元机器人、擎朗智能、五八智能科技。</x:t>
        </x:is>
      </x:c>
      <x:c r="I24" t="inlineStr">
        <x:is>
          <x:t xml:space="preserve">S10;S16</x:t>
        </x:is>
      </x:c>
      <x:c r="J24" t="inlineStr">
        <x:is>
          <x:t xml:space="preserve">S3</x:t>
        </x:is>
      </x:c>
      <x:c r="K24" t="inlineStr">
        <x:is>
          <x:t xml:space="preserve">P3</x:t>
        </x:is>
      </x:c>
      <x:c r="L24" t="inlineStr">
        <x:is>
          <x:t xml:space="preserve">已证实(合作存在)</x:t>
        </x:is>
      </x:c>
      <x:c r="M24" t="inlineStr">
        <x:is>
          <x:t xml:space="preserve">仅学院/专业级关联；未证该方向或导师可进入；不得自动打分；北邮方向01/02证据需分方向核验</x:t>
        </x:is>
      </x:c>
      <x:c r="N24" t="inlineStr">
        <x:is>
          <x:t xml:space="preserve">待人工评价</x:t>
        </x:is>
      </x:c>
    </x:row>
    <x:row r="25">
      <x:c r="A25" t="inlineStr">
        <x:is>
          <x:t xml:space="preserve">P01</x:t>
        </x:is>
      </x:c>
      <x:c r="B25" t="inlineStr">
        <x:is>
          <x:t xml:space="preserve">北京邮电大学</x:t>
        </x:is>
      </x:c>
      <x:c r="C25" t="inlineStr">
        <x:is>
          <x:t xml:space="preserve">005</x:t>
        </x:is>
      </x:c>
      <x:c r="D25" t="inlineStr">
        <x:is>
          <x:t xml:space="preserve">085410</x:t>
        </x:is>
      </x:c>
      <x:c r="E25" t="inlineStr">
        <x:is>
          <x:t xml:space="preserve">城市AI岗位生态</x:t>
        </x:is>
      </x:c>
      <x:c r="F25" t="inlineStr">
        <x:is>
          <x:t xml:space="preserve">2D资源</x:t>
        </x:is>
      </x:c>
      <x:c r="G25" t="inlineStr">
        <x:is>
          <x:t xml:space="preserve">D4-就业与产业连接</x:t>
        </x:is>
      </x:c>
      <x:c r="H25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25" t="inlineStr">
        <x:is>
          <x:t xml:space="preserve">S-BUPT-J1</x:t>
        </x:is>
      </x:c>
      <x:c r="J25" t="inlineStr">
        <x:is>
          <x:t xml:space="preserve">S4</x:t>
        </x:is>
      </x:c>
      <x:c r="K25" t="inlineStr">
        <x:is>
          <x:t xml:space="preserve">P3</x:t>
        </x:is>
      </x:c>
      <x:c r="L25" t="inlineStr">
        <x:is>
          <x:t xml:space="preserve">线索(全校级)</x:t>
        </x:is>
      </x:c>
      <x:c r="M25" t="inlineStr">
        <x:is>
          <x:t xml:space="preserve">仅学院/专业级关联；未证该方向或导师可进入；不得自动打分；北邮方向01/02证据需分方向核验</x:t>
        </x:is>
      </x:c>
      <x:c r="N25" t="inlineStr">
        <x:is>
          <x:t xml:space="preserve">待人工评价</x:t>
        </x:is>
      </x:c>
    </x:row>
    <x:row r="26">
      <x:c r="A26" t="inlineStr">
        <x:is>
          <x:t xml:space="preserve">P01</x:t>
        </x:is>
      </x:c>
      <x:c r="B26" t="inlineStr">
        <x:is>
          <x:t xml:space="preserve">北京邮电大学</x:t>
        </x:is>
      </x:c>
      <x:c r="C26" t="inlineStr">
        <x:is>
          <x:t xml:space="preserve">005</x:t>
        </x:is>
      </x:c>
      <x:c r="D26" t="inlineStr">
        <x:is>
          <x:t xml:space="preserve">085410</x:t>
        </x:is>
      </x:c>
      <x:c r="E26" t="inlineStr">
        <x:is>
          <x:t xml:space="preserve">实习合作半径</x:t>
        </x:is>
      </x:c>
      <x:c r="F26" t="inlineStr">
        <x:is>
          <x:t xml:space="preserve">2D资源</x:t>
        </x:is>
      </x:c>
      <x:c r="G26" t="inlineStr">
        <x:is>
          <x:t xml:space="preserve">D4-就业与产业连接</x:t>
        </x:is>
      </x:c>
      <x:c r="H26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26" t="inlineStr">
        <x:is>
          <x:t xml:space="preserve">S-BUPT-J1</x:t>
        </x:is>
      </x:c>
      <x:c r="J26" t="inlineStr">
        <x:is>
          <x:t xml:space="preserve">S4</x:t>
        </x:is>
      </x:c>
      <x:c r="K26" t="inlineStr">
        <x:is>
          <x:t xml:space="preserve">P3</x:t>
        </x:is>
      </x:c>
      <x:c r="L26" t="inlineStr">
        <x:is>
          <x:t xml:space="preserve">线索(全校级)</x:t>
        </x:is>
      </x:c>
      <x:c r="M26" t="inlineStr">
        <x:is>
          <x:t xml:space="preserve">仅学院/专业级关联；未证该方向或导师可进入；不得自动打分；北邮方向01/02证据需分方向核验</x:t>
        </x:is>
      </x:c>
      <x:c r="N26" t="inlineStr">
        <x:is>
          <x:t xml:space="preserve">待人工评价</x:t>
        </x:is>
      </x:c>
    </x:row>
    <x:row r="27">
      <x:c r="A27" t="inlineStr">
        <x:is>
          <x:t xml:space="preserve">P01</x:t>
        </x:is>
      </x:c>
      <x:c r="B27" t="inlineStr">
        <x:is>
          <x:t xml:space="preserve">北京邮电大学</x:t>
        </x:is>
      </x:c>
      <x:c r="C27" t="inlineStr">
        <x:is>
          <x:t xml:space="preserve">005</x:t>
        </x:is>
      </x:c>
      <x:c r="D27" t="inlineStr">
        <x:is>
          <x:t xml:space="preserve">085410</x:t>
        </x:is>
      </x:c>
      <x:c r="E27" t="inlineStr">
        <x:is>
          <x:t xml:space="preserve">学制与企业实践</x:t>
        </x:is>
      </x:c>
      <x:c r="F27" t="inlineStr">
        <x:is>
          <x:t xml:space="preserve">2D资源</x:t>
        </x:is>
      </x:c>
      <x:c r="G27" t="inlineStr">
        <x:is>
          <x:t xml:space="preserve">D3-硕士培养可进入性</x:t>
        </x:is>
      </x:c>
      <x:c r="H27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27" t="inlineStr">
        <x:is>
          <x:t xml:space="preserve">S-BUPT-P1</x:t>
        </x:is>
      </x:c>
      <x:c r="J27" t="inlineStr">
        <x:is>
          <x:t xml:space="preserve">S3</x:t>
        </x:is>
      </x:c>
      <x:c r="K27" t="inlineStr">
        <x:is>
          <x:t xml:space="preserve">P1</x:t>
        </x:is>
      </x:c>
      <x:c r="L27" t="inlineStr">
        <x:is>
          <x:t xml:space="preserve">已证实</x:t>
        </x:is>
      </x:c>
      <x:c r="M27" t="inlineStr">
        <x:is>
          <x:t xml:space="preserve">仅学院/专业级关联；未证该方向或导师可进入；不得自动打分；北邮方向01/02证据需分方向核验</x:t>
        </x:is>
      </x:c>
      <x:c r="N27" t="inlineStr">
        <x:is>
          <x:t xml:space="preserve">待人工评价</x:t>
        </x:is>
      </x:c>
    </x:row>
    <x:row r="28">
      <x:c r="A28" t="inlineStr">
        <x:is>
          <x:t xml:space="preserve">P01</x:t>
        </x:is>
      </x:c>
      <x:c r="B28" t="inlineStr">
        <x:is>
          <x:t xml:space="preserve">北京邮电大学</x:t>
        </x:is>
      </x:c>
      <x:c r="C28" t="inlineStr">
        <x:is>
          <x:t xml:space="preserve">005</x:t>
        </x:is>
      </x:c>
      <x:c r="D28" t="inlineStr">
        <x:is>
          <x:t xml:space="preserve">085410</x:t>
        </x:is>
      </x:c>
      <x:c r="E28" t="inlineStr">
        <x:is>
          <x:t xml:space="preserve">学制与企业实践</x:t>
        </x:is>
      </x:c>
      <x:c r="F28" t="inlineStr">
        <x:is>
          <x:t xml:space="preserve">2D资源</x:t>
        </x:is>
      </x:c>
      <x:c r="G28" t="inlineStr">
        <x:is>
          <x:t xml:space="preserve">D3-硕士培养可进入性</x:t>
        </x:is>
      </x:c>
      <x:c r="H28" t="inlineStr">
        <x:is>
          <x:t xml:space="preserve">王小捷(人工智能系主任)讲述(S3): 北邮'企业联合毕业设计'+校企双导师制,企业导师从(本科)二年级介入;校企联合出题。</x:t>
        </x:is>
      </x:c>
      <x:c r="I28" t="inlineStr">
        <x:is>
          <x:t xml:space="preserve">S-BUPT-P2</x:t>
        </x:is>
      </x:c>
      <x:c r="J28" t="inlineStr">
        <x:is>
          <x:t xml:space="preserve">S3</x:t>
        </x:is>
      </x:c>
      <x:c r="K28" t="inlineStr">
        <x:is>
          <x:t xml:space="preserve">P2</x:t>
        </x:is>
      </x:c>
      <x:c r="L28" t="inlineStr">
        <x:is>
          <x:t xml:space="preserve">已证实</x:t>
        </x:is>
      </x:c>
      <x:c r="M28" t="inlineStr">
        <x:is>
          <x:t xml:space="preserve">仅学院/专业级关联；未证该方向或导师可进入；不得自动打分；北邮方向01/02证据需分方向核验</x:t>
        </x:is>
      </x:c>
      <x:c r="N28" t="inlineStr">
        <x:is>
          <x:t xml:space="preserve">待人工评价</x:t>
        </x:is>
      </x:c>
    </x:row>
    <x:row r="29">
      <x:c r="A29" t="inlineStr">
        <x:is>
          <x:t xml:space="preserve">P02</x:t>
        </x:is>
      </x:c>
      <x:c r="B29" t="inlineStr">
        <x:is>
          <x:t xml:space="preserve">北京邮电大学</x:t>
        </x:is>
      </x:c>
      <x:c r="C29" t="inlineStr">
        <x:is>
          <x:t xml:space="preserve">005</x:t>
        </x:is>
      </x:c>
      <x:c r="D29" t="inlineStr">
        <x:is>
          <x:t xml:space="preserve">085410</x:t>
        </x:is>
      </x:c>
      <x:c r="E29" t="inlineStr">
        <x:is>
          <x:t xml:space="preserve">岗位与实习机会</x:t>
        </x:is>
      </x:c>
      <x:c r="F29" t="inlineStr">
        <x:is>
          <x:t xml:space="preserve">2D资源</x:t>
        </x:is>
      </x:c>
      <x:c r="G29" t="inlineStr">
        <x:is>
          <x:t xml:space="preserve">D4-就业与产业连接</x:t>
        </x:is>
      </x:c>
      <x:c r="H29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29" t="inlineStr">
        <x:is>
          <x:t xml:space="preserve">S-BUPT-J1</x:t>
        </x:is>
      </x:c>
      <x:c r="J29" t="inlineStr">
        <x:is>
          <x:t xml:space="preserve">S4</x:t>
        </x:is>
      </x:c>
      <x:c r="K29" t="inlineStr">
        <x:is>
          <x:t xml:space="preserve">P3</x:t>
        </x:is>
      </x:c>
      <x:c r="L29" t="inlineStr">
        <x:is>
          <x:t xml:space="preserve">线索(全校级)</x:t>
        </x:is>
      </x:c>
      <x:c r="M29" t="inlineStr">
        <x:is>
          <x:t xml:space="preserve">仅学院/专业级关联；未证该方向或导师可进入；不得自动打分；北邮方向01/02证据需分方向核验</x:t>
        </x:is>
      </x:c>
      <x:c r="N29" t="inlineStr">
        <x:is>
          <x:t xml:space="preserve">待人工评价</x:t>
        </x:is>
      </x:c>
    </x:row>
    <x:row r="30">
      <x:c r="A30" t="inlineStr">
        <x:is>
          <x:t xml:space="preserve">P02</x:t>
        </x:is>
      </x:c>
      <x:c r="B30" t="inlineStr">
        <x:is>
          <x:t xml:space="preserve">北京邮电大学</x:t>
        </x:is>
      </x:c>
      <x:c r="C30" t="inlineStr">
        <x:is>
          <x:t xml:space="preserve">005</x:t>
        </x:is>
      </x:c>
      <x:c r="D30" t="inlineStr">
        <x:is>
          <x:t xml:space="preserve">085410</x:t>
        </x:is>
      </x:c>
      <x:c r="E30" t="inlineStr">
        <x:is>
          <x:t xml:space="preserve">产业合作可参与性</x:t>
        </x:is>
      </x:c>
      <x:c r="F30" t="inlineStr">
        <x:is>
          <x:t xml:space="preserve">2D资源</x:t>
        </x:is>
      </x:c>
      <x:c r="G30" t="inlineStr">
        <x:is>
          <x:t xml:space="preserve">D2-科研与工程资源</x:t>
        </x:is>
      </x:c>
      <x:c r="H30" t="inlineStr">
        <x:is>
          <x:t xml:space="preserve">校级超算平台;国家人工智能产教融合创新平台(北邮);'智能机器人与系统'省部级重点实验室;DeepTouch Lab具身触觉实验平台;文旅部交互技术与体验系统重点实验室。</x:t>
        </x:is>
      </x:c>
      <x:c r="I30" t="inlineStr">
        <x:is>
          <x:t xml:space="preserve">S13;S14;S15;S09;S10;S16</x:t>
        </x:is>
      </x:c>
      <x:c r="J30" t="inlineStr">
        <x:is>
          <x:t xml:space="preserve">S2</x:t>
        </x:is>
      </x:c>
      <x:c r="K30" t="inlineStr">
        <x:is>
          <x:t xml:space="preserve">P3</x:t>
        </x:is>
      </x:c>
      <x:c r="L30" t="inlineStr">
        <x:is>
          <x:t xml:space="preserve">已证实(资源存在)</x:t>
        </x:is>
      </x:c>
      <x:c r="M30" t="inlineStr">
        <x:is>
          <x:t xml:space="preserve">仅学院/专业级关联；未证该方向或导师可进入；不得自动打分；北邮方向01/02证据需分方向核验</x:t>
        </x:is>
      </x:c>
      <x:c r="N30" t="inlineStr">
        <x:is>
          <x:t xml:space="preserve">待人工评价</x:t>
        </x:is>
      </x:c>
    </x:row>
    <x:row r="31">
      <x:c r="A31" t="inlineStr">
        <x:is>
          <x:t xml:space="preserve">P02</x:t>
        </x:is>
      </x:c>
      <x:c r="B31" t="inlineStr">
        <x:is>
          <x:t xml:space="preserve">北京邮电大学</x:t>
        </x:is>
      </x:c>
      <x:c r="C31" t="inlineStr">
        <x:is>
          <x:t xml:space="preserve">005</x:t>
        </x:is>
      </x:c>
      <x:c r="D31" t="inlineStr">
        <x:is>
          <x:t xml:space="preserve">085410</x:t>
        </x:is>
      </x:c>
      <x:c r="E31" t="inlineStr">
        <x:is>
          <x:t xml:space="preserve">产业合作可参与性</x:t>
        </x:is>
      </x:c>
      <x:c r="F31" t="inlineStr">
        <x:is>
          <x:t xml:space="preserve">2D资源</x:t>
        </x:is>
      </x:c>
      <x:c r="G31" t="inlineStr">
        <x:is>
          <x:t xml:space="preserve">D2-科研与工程资源</x:t>
        </x:is>
      </x:c>
      <x:c r="H31" t="inlineStr">
        <x:is>
          <x:t xml:space="preserve">具身智能产业合作:优必选、智元机器人、擎朗智能、五八智能科技。</x:t>
        </x:is>
      </x:c>
      <x:c r="I31" t="inlineStr">
        <x:is>
          <x:t xml:space="preserve">S10;S16</x:t>
        </x:is>
      </x:c>
      <x:c r="J31" t="inlineStr">
        <x:is>
          <x:t xml:space="preserve">S3</x:t>
        </x:is>
      </x:c>
      <x:c r="K31" t="inlineStr">
        <x:is>
          <x:t xml:space="preserve">P3</x:t>
        </x:is>
      </x:c>
      <x:c r="L31" t="inlineStr">
        <x:is>
          <x:t xml:space="preserve">已证实(合作存在)</x:t>
        </x:is>
      </x:c>
      <x:c r="M31" t="inlineStr">
        <x:is>
          <x:t xml:space="preserve">仅学院/专业级关联；未证该方向或导师可进入；不得自动打分；北邮方向01/02证据需分方向核验</x:t>
        </x:is>
      </x:c>
      <x:c r="N31" t="inlineStr">
        <x:is>
          <x:t xml:space="preserve">待人工评价</x:t>
        </x:is>
      </x:c>
    </x:row>
    <x:row r="32">
      <x:c r="A32" t="inlineStr">
        <x:is>
          <x:t xml:space="preserve">P02</x:t>
        </x:is>
      </x:c>
      <x:c r="B32" t="inlineStr">
        <x:is>
          <x:t xml:space="preserve">北京邮电大学</x:t>
        </x:is>
      </x:c>
      <x:c r="C32" t="inlineStr">
        <x:is>
          <x:t xml:space="preserve">005</x:t>
        </x:is>
      </x:c>
      <x:c r="D32" t="inlineStr">
        <x:is>
          <x:t xml:space="preserve">085410</x:t>
        </x:is>
      </x:c>
      <x:c r="E32" t="inlineStr">
        <x:is>
          <x:t xml:space="preserve">Agent/LLM能力积累</x:t>
        </x:is>
      </x:c>
      <x:c r="F32" t="inlineStr">
        <x:is>
          <x:t xml:space="preserve">2D资源</x:t>
        </x:is>
      </x:c>
      <x:c r="G32" t="inlineStr">
        <x:is>
          <x:t xml:space="preserve">D1-AI科研方向匹配</x:t>
        </x:is>
      </x:c>
      <x:c r="H32" t="inlineStr">
        <x:is>
          <x:t xml:space="preserve">方斌=具身智能/机器人触觉/灵巧操作(DeepTouch Lab);徐士彪=多模态AI/空间计算与模型蒸馏(VLA);郭迪=具身智能/智能机器人;王小捷团队=NLP/大语言模型/多模态对话。方向覆盖LLM/多模态/具身/机器人。</x:t>
        </x:is>
      </x:c>
      <x:c r="I32" t="inlineStr">
        <x:is>
          <x:t xml:space="preserve">S-BUPT-M1;S-BUPT-S10;S-BUPT-H1</x:t>
        </x:is>
      </x:c>
      <x:c r="J32" t="inlineStr">
        <x:is>
          <x:t xml:space="preserve">S2</x:t>
        </x:is>
      </x:c>
      <x:c r="K32" t="inlineStr">
        <x:is>
          <x:t xml:space="preserve">P2</x:t>
        </x:is>
      </x:c>
      <x:c r="L32" t="inlineStr">
        <x:is>
          <x:t xml:space="preserve">已证实(方向)</x:t>
        </x:is>
      </x:c>
      <x:c r="M32" t="inlineStr">
        <x:is>
          <x:t xml:space="preserve">仅学院/专业级关联；未证该方向或导师可进入；不得自动打分；北邮方向01/02证据需分方向核验</x:t>
        </x:is>
      </x:c>
      <x:c r="N32" t="inlineStr">
        <x:is>
          <x:t xml:space="preserve">待人工评价</x:t>
        </x:is>
      </x:c>
    </x:row>
    <x:row r="33">
      <x:c r="A33" t="inlineStr">
        <x:is>
          <x:t xml:space="preserve">P02</x:t>
        </x:is>
      </x:c>
      <x:c r="B33" t="inlineStr">
        <x:is>
          <x:t xml:space="preserve">北京邮电大学</x:t>
        </x:is>
      </x:c>
      <x:c r="C33" t="inlineStr">
        <x:is>
          <x:t xml:space="preserve">005</x:t>
        </x:is>
      </x:c>
      <x:c r="D33" t="inlineStr">
        <x:is>
          <x:t xml:space="preserve">085410</x:t>
        </x:is>
      </x:c>
      <x:c r="E33" t="inlineStr">
        <x:is>
          <x:t xml:space="preserve">Agent/LLM能力积累</x:t>
        </x:is>
      </x:c>
      <x:c r="F33" t="inlineStr">
        <x:is>
          <x:t xml:space="preserve">2D资源</x:t>
        </x:is>
      </x:c>
      <x:c r="G33" t="inlineStr">
        <x:is>
          <x:t xml:space="preserve">D1-AI科研方向匹配</x:t>
        </x:is>
      </x:c>
      <x:c r="H33" t="inlineStr">
        <x:is>
          <x:t xml:space="preserve">学院8个教研中心/团队覆盖智能信息处理、模式识别、NLP、数据挖掘、具身智能;含郭军团队、王小捷团队、杨洁团队、DeepTouch Lab、智能机器人与系统方向团队。</x:t>
        </x:is>
      </x:c>
      <x:c r="I33" t="inlineStr">
        <x:is>
          <x:t xml:space="preserve">S03;S-BUPT-S10;S-BUPT-S16</x:t>
        </x:is>
      </x:c>
      <x:c r="J33" t="inlineStr">
        <x:is>
          <x:t xml:space="preserve">S2</x:t>
        </x:is>
      </x:c>
      <x:c r="K33" t="inlineStr">
        <x:is>
          <x:t xml:space="preserve">P2</x:t>
        </x:is>
      </x:c>
      <x:c r="L33" t="inlineStr">
        <x:is>
          <x:t xml:space="preserve">已证实(方向)</x:t>
        </x:is>
      </x:c>
      <x:c r="M33" t="inlineStr">
        <x:is>
          <x:t xml:space="preserve">仅学院/专业级关联；未证该方向或导师可进入；不得自动打分；北邮方向01/02证据需分方向核验</x:t>
        </x:is>
      </x:c>
      <x:c r="N33" t="inlineStr">
        <x:is>
          <x:t xml:space="preserve">待人工评价</x:t>
        </x:is>
      </x:c>
    </x:row>
    <x:row r="34">
      <x:c r="A34" t="inlineStr">
        <x:is>
          <x:t xml:space="preserve">P02</x:t>
        </x:is>
      </x:c>
      <x:c r="B34" t="inlineStr">
        <x:is>
          <x:t xml:space="preserve">北京邮电大学</x:t>
        </x:is>
      </x:c>
      <x:c r="C34" t="inlineStr">
        <x:is>
          <x:t xml:space="preserve">005</x:t>
        </x:is>
      </x:c>
      <x:c r="D34" t="inlineStr">
        <x:is>
          <x:t xml:space="preserve">085410</x:t>
        </x:is>
      </x:c>
      <x:c r="E34" t="inlineStr">
        <x:is>
          <x:t xml:space="preserve">具身/机器人发展空间</x:t>
        </x:is>
      </x:c>
      <x:c r="F34" t="inlineStr">
        <x:is>
          <x:t xml:space="preserve">2D资源</x:t>
        </x:is>
      </x:c>
      <x:c r="G34" t="inlineStr">
        <x:is>
          <x:t xml:space="preserve">D1-AI科研方向匹配</x:t>
        </x:is>
      </x:c>
      <x:c r="H34" t="inlineStr">
        <x:is>
          <x:t xml:space="preserve">方斌=具身智能/机器人触觉/灵巧操作(DeepTouch Lab);徐士彪=多模态AI/空间计算与模型蒸馏(VLA);郭迪=具身智能/智能机器人;王小捷团队=NLP/大语言模型/多模态对话。方向覆盖LLM/多模态/具身/机器人。</x:t>
        </x:is>
      </x:c>
      <x:c r="I34" t="inlineStr">
        <x:is>
          <x:t xml:space="preserve">S-BUPT-M1;S-BUPT-S10;S-BUPT-H1</x:t>
        </x:is>
      </x:c>
      <x:c r="J34" t="inlineStr">
        <x:is>
          <x:t xml:space="preserve">S2</x:t>
        </x:is>
      </x:c>
      <x:c r="K34" t="inlineStr">
        <x:is>
          <x:t xml:space="preserve">P2</x:t>
        </x:is>
      </x:c>
      <x:c r="L34" t="inlineStr">
        <x:is>
          <x:t xml:space="preserve">已证实(方向)</x:t>
        </x:is>
      </x:c>
      <x:c r="M34" t="inlineStr">
        <x:is>
          <x:t xml:space="preserve">仅学院/专业级关联；未证该方向或导师可进入；不得自动打分；北邮方向01/02证据需分方向核验</x:t>
        </x:is>
      </x:c>
      <x:c r="N34" t="inlineStr">
        <x:is>
          <x:t xml:space="preserve">待人工评价</x:t>
        </x:is>
      </x:c>
    </x:row>
    <x:row r="35">
      <x:c r="A35" t="inlineStr">
        <x:is>
          <x:t xml:space="preserve">P02</x:t>
        </x:is>
      </x:c>
      <x:c r="B35" t="inlineStr">
        <x:is>
          <x:t xml:space="preserve">北京邮电大学</x:t>
        </x:is>
      </x:c>
      <x:c r="C35" t="inlineStr">
        <x:is>
          <x:t xml:space="preserve">005</x:t>
        </x:is>
      </x:c>
      <x:c r="D35" t="inlineStr">
        <x:is>
          <x:t xml:space="preserve">085410</x:t>
        </x:is>
      </x:c>
      <x:c r="E35" t="inlineStr">
        <x:is>
          <x:t xml:space="preserve">具身/机器人发展空间</x:t>
        </x:is>
      </x:c>
      <x:c r="F35" t="inlineStr">
        <x:is>
          <x:t xml:space="preserve">2D资源</x:t>
        </x:is>
      </x:c>
      <x:c r="G35" t="inlineStr">
        <x:is>
          <x:t xml:space="preserve">D1-AI科研方向匹配</x:t>
        </x:is>
      </x:c>
      <x:c r="H35" t="inlineStr">
        <x:is>
          <x:t xml:space="preserve">学院8个教研中心/团队覆盖智能信息处理、模式识别、NLP、数据挖掘、具身智能;含郭军团队、王小捷团队、杨洁团队、DeepTouch Lab、智能机器人与系统方向团队。</x:t>
        </x:is>
      </x:c>
      <x:c r="I35" t="inlineStr">
        <x:is>
          <x:t xml:space="preserve">S03;S-BUPT-S10;S-BUPT-S16</x:t>
        </x:is>
      </x:c>
      <x:c r="J35" t="inlineStr">
        <x:is>
          <x:t xml:space="preserve">S2</x:t>
        </x:is>
      </x:c>
      <x:c r="K35" t="inlineStr">
        <x:is>
          <x:t xml:space="preserve">P2</x:t>
        </x:is>
      </x:c>
      <x:c r="L35" t="inlineStr">
        <x:is>
          <x:t xml:space="preserve">已证实(方向)</x:t>
        </x:is>
      </x:c>
      <x:c r="M35" t="inlineStr">
        <x:is>
          <x:t xml:space="preserve">仅学院/专业级关联；未证该方向或导师可进入；不得自动打分；北邮方向01/02证据需分方向核验</x:t>
        </x:is>
      </x:c>
      <x:c r="N35" t="inlineStr">
        <x:is>
          <x:t xml:space="preserve">待人工评价</x:t>
        </x:is>
      </x:c>
    </x:row>
    <x:row r="36">
      <x:c r="A36" t="inlineStr">
        <x:is>
          <x:t xml:space="preserve">P02</x:t>
        </x:is>
      </x:c>
      <x:c r="B36" t="inlineStr">
        <x:is>
          <x:t xml:space="preserve">北京邮电大学</x:t>
        </x:is>
      </x:c>
      <x:c r="C36" t="inlineStr">
        <x:is>
          <x:t xml:space="preserve">005</x:t>
        </x:is>
      </x:c>
      <x:c r="D36" t="inlineStr">
        <x:is>
          <x:t xml:space="preserve">085410</x:t>
        </x:is>
      </x:c>
      <x:c r="E36" t="inlineStr">
        <x:is>
          <x:t xml:space="preserve">全日制统考路径明确性</x:t>
        </x:is>
      </x:c>
      <x:c r="F36" t="inlineStr">
        <x:is>
          <x:t xml:space="preserve">2D风险</x:t>
        </x:is>
      </x:c>
      <x:c r="G36" t="inlineStr">
        <x:is>
          <x:t xml:space="preserve">初试科目变化</x:t>
        </x:is>
      </x:c>
      <x:c r="H36" t="inlineStr">
        <x:is>
          <x:t xml:space="preserve">方向02人工智能与大数据第四单元:809数据结构→408计算机学科专业基础(全国统考)</x:t>
        </x:is>
      </x:c>
      <x:c r="I36" t="inlineStr">
        <x:is>
          <x:t xml:space="preserve">S-BUPT-M2</x:t>
        </x:is>
      </x:c>
      <x:c r="J36" t="inlineStr">
        <x:is>
          <x:t xml:space="preserve">S1</x:t>
        </x:is>
      </x:c>
      <x:c r="K36" t="inlineStr">
        <x:is>
          <x:t xml:space="preserve">不适用</x:t>
        </x:is>
      </x:c>
      <x:c r="L36" t="inlineStr">
        <x:is>
          <x:t xml:space="preserve">已证实</x:t>
        </x:is>
      </x:c>
      <x:c r="M36" t="inlineStr">
        <x:is>
          <x:t xml:space="preserve">年份/方向/计划口径须再核对；仅作为评分候选</x:t>
        </x:is>
      </x:c>
      <x:c r="N36" t="inlineStr">
        <x:is>
          <x:t xml:space="preserve">待人工评价</x:t>
        </x:is>
      </x:c>
    </x:row>
    <x:row r="37">
      <x:c r="A37" t="inlineStr">
        <x:is>
          <x:t xml:space="preserve">P02</x:t>
        </x:is>
      </x:c>
      <x:c r="B37" t="inlineStr">
        <x:is>
          <x:t xml:space="preserve">北京邮电大学</x:t>
        </x:is>
      </x:c>
      <x:c r="C37" t="inlineStr">
        <x:is>
          <x:t xml:space="preserve">005</x:t>
        </x:is>
      </x:c>
      <x:c r="D37" t="inlineStr">
        <x:is>
          <x:t xml:space="preserve">085410</x:t>
        </x:is>
      </x:c>
      <x:c r="E37" t="inlineStr">
        <x:is>
          <x:t xml:space="preserve">全日制统考路径明确性</x:t>
        </x:is>
      </x:c>
      <x:c r="F37" t="inlineStr">
        <x:is>
          <x:t xml:space="preserve">2D风险</x:t>
        </x:is>
      </x:c>
      <x:c r="G37" t="inlineStr">
        <x:is>
          <x:t xml:space="preserve">初试科目变化</x:t>
        </x:is>
      </x:c>
      <x:c r="H37" t="inlineStr">
        <x:is>
          <x:t xml:space="preserve">方向01人工智能与信息网络第四单元维持801通信原理(未变更)</x:t>
        </x:is>
      </x:c>
      <x:c r="I37" t="inlineStr">
        <x:is>
          <x:t xml:space="preserve">S-BUPT-M2</x:t>
        </x:is>
      </x:c>
      <x:c r="J37" t="inlineStr">
        <x:is>
          <x:t xml:space="preserve">S1</x:t>
        </x:is>
      </x:c>
      <x:c r="K37" t="inlineStr">
        <x:is>
          <x:t xml:space="preserve">不适用</x:t>
        </x:is>
      </x:c>
      <x:c r="L37" t="inlineStr">
        <x:is>
          <x:t xml:space="preserve">已证实</x:t>
        </x:is>
      </x:c>
      <x:c r="M37" t="inlineStr">
        <x:is>
          <x:t xml:space="preserve">年份/方向/计划口径须再核对；仅作为评分候选</x:t>
        </x:is>
      </x:c>
      <x:c r="N37" t="inlineStr">
        <x:is>
          <x:t xml:space="preserve">待人工评价</x:t>
        </x:is>
      </x:c>
    </x:row>
    <x:row r="38">
      <x:c r="A38" t="inlineStr">
        <x:is>
          <x:t xml:space="preserve">P02</x:t>
        </x:is>
      </x:c>
      <x:c r="B38" t="inlineStr">
        <x:is>
          <x:t xml:space="preserve">北京邮电大学</x:t>
        </x:is>
      </x:c>
      <x:c r="C38" t="inlineStr">
        <x:is>
          <x:t xml:space="preserve">005</x:t>
        </x:is>
      </x:c>
      <x:c r="D38" t="inlineStr">
        <x:is>
          <x:t xml:space="preserve">085410</x:t>
        </x:is>
      </x:c>
      <x:c r="E38" t="inlineStr">
        <x:is>
          <x:t xml:space="preserve">名额口径可靠性</x:t>
        </x:is>
      </x:c>
      <x:c r="F38" t="inlineStr">
        <x:is>
          <x:t xml:space="preserve">2D风险</x:t>
        </x:is>
      </x:c>
      <x:c r="G38" t="inlineStr">
        <x:is>
          <x:t xml:space="preserve">初试科目变化</x:t>
        </x:is>
      </x:c>
      <x:c r="H38" t="inlineStr">
        <x:is>
          <x:t xml:space="preserve">方向02人工智能与大数据第四单元:809数据结构→408计算机学科专业基础(全国统考)</x:t>
        </x:is>
      </x:c>
      <x:c r="I38" t="inlineStr">
        <x:is>
          <x:t xml:space="preserve">S-BUPT-M2</x:t>
        </x:is>
      </x:c>
      <x:c r="J38" t="inlineStr">
        <x:is>
          <x:t xml:space="preserve">S1</x:t>
        </x:is>
      </x:c>
      <x:c r="K38" t="inlineStr">
        <x:is>
          <x:t xml:space="preserve">不适用</x:t>
        </x:is>
      </x:c>
      <x:c r="L38" t="inlineStr">
        <x:is>
          <x:t xml:space="preserve">已证实</x:t>
        </x:is>
      </x:c>
      <x:c r="M38" t="inlineStr">
        <x:is>
          <x:t xml:space="preserve">年份/方向/计划口径须再核对；仅作为评分候选</x:t>
        </x:is>
      </x:c>
      <x:c r="N38" t="inlineStr">
        <x:is>
          <x:t xml:space="preserve">待人工评价</x:t>
        </x:is>
      </x:c>
    </x:row>
    <x:row r="39">
      <x:c r="A39" t="inlineStr">
        <x:is>
          <x:t xml:space="preserve">P02</x:t>
        </x:is>
      </x:c>
      <x:c r="B39" t="inlineStr">
        <x:is>
          <x:t xml:space="preserve">北京邮电大学</x:t>
        </x:is>
      </x:c>
      <x:c r="C39" t="inlineStr">
        <x:is>
          <x:t xml:space="preserve">005</x:t>
        </x:is>
      </x:c>
      <x:c r="D39" t="inlineStr">
        <x:is>
          <x:t xml:space="preserve">085410</x:t>
        </x:is>
      </x:c>
      <x:c r="E39" t="inlineStr">
        <x:is>
          <x:t xml:space="preserve">名额口径可靠性</x:t>
        </x:is>
      </x:c>
      <x:c r="F39" t="inlineStr">
        <x:is>
          <x:t xml:space="preserve">2D风险</x:t>
        </x:is>
      </x:c>
      <x:c r="G39" t="inlineStr">
        <x:is>
          <x:t xml:space="preserve">初试科目变化</x:t>
        </x:is>
      </x:c>
      <x:c r="H39" t="inlineStr">
        <x:is>
          <x:t xml:space="preserve">方向01人工智能与信息网络第四单元维持801通信原理(未变更)</x:t>
        </x:is>
      </x:c>
      <x:c r="I39" t="inlineStr">
        <x:is>
          <x:t xml:space="preserve">S-BUPT-M2</x:t>
        </x:is>
      </x:c>
      <x:c r="J39" t="inlineStr">
        <x:is>
          <x:t xml:space="preserve">S1</x:t>
        </x:is>
      </x:c>
      <x:c r="K39" t="inlineStr">
        <x:is>
          <x:t xml:space="preserve">不适用</x:t>
        </x:is>
      </x:c>
      <x:c r="L39" t="inlineStr">
        <x:is>
          <x:t xml:space="preserve">已证实</x:t>
        </x:is>
      </x:c>
      <x:c r="M39" t="inlineStr">
        <x:is>
          <x:t xml:space="preserve">年份/方向/计划口径须再核对；仅作为评分候选</x:t>
        </x:is>
      </x:c>
      <x:c r="N39" t="inlineStr">
        <x:is>
          <x:t xml:space="preserve">待人工评价</x:t>
        </x:is>
      </x:c>
    </x:row>
    <x:row r="40">
      <x:c r="A40" t="inlineStr">
        <x:is>
          <x:t xml:space="preserve">P02</x:t>
        </x:is>
      </x:c>
      <x:c r="B40" t="inlineStr">
        <x:is>
          <x:t xml:space="preserve">北京邮电大学</x:t>
        </x:is>
      </x:c>
      <x:c r="C40" t="inlineStr">
        <x:is>
          <x:t xml:space="preserve">005</x:t>
        </x:is>
      </x:c>
      <x:c r="D40" t="inlineStr">
        <x:is>
          <x:t xml:space="preserve">085410</x:t>
        </x:is>
      </x:c>
      <x:c r="E40" t="inlineStr">
        <x:is>
          <x:t xml:space="preserve">初复试科目稳定性</x:t>
        </x:is>
      </x:c>
      <x:c r="F40" t="inlineStr">
        <x:is>
          <x:t xml:space="preserve">2D风险</x:t>
        </x:is>
      </x:c>
      <x:c r="G40" t="inlineStr">
        <x:is>
          <x:t xml:space="preserve">初试科目变化</x:t>
        </x:is>
      </x:c>
      <x:c r="H40" t="inlineStr">
        <x:is>
          <x:t xml:space="preserve">方向02人工智能与大数据第四单元:809数据结构→408计算机学科专业基础(全国统考)</x:t>
        </x:is>
      </x:c>
      <x:c r="I40" t="inlineStr">
        <x:is>
          <x:t xml:space="preserve">S-BUPT-M2</x:t>
        </x:is>
      </x:c>
      <x:c r="J40" t="inlineStr">
        <x:is>
          <x:t xml:space="preserve">S1</x:t>
        </x:is>
      </x:c>
      <x:c r="K40" t="inlineStr">
        <x:is>
          <x:t xml:space="preserve">不适用</x:t>
        </x:is>
      </x:c>
      <x:c r="L40" t="inlineStr">
        <x:is>
          <x:t xml:space="preserve">已证实</x:t>
        </x:is>
      </x:c>
      <x:c r="M40" t="inlineStr">
        <x:is>
          <x:t xml:space="preserve">年份/方向/计划口径须再核对；仅作为评分候选</x:t>
        </x:is>
      </x:c>
      <x:c r="N40" t="inlineStr">
        <x:is>
          <x:t xml:space="preserve">待人工评价</x:t>
        </x:is>
      </x:c>
    </x:row>
    <x:row r="41">
      <x:c r="A41" t="inlineStr">
        <x:is>
          <x:t xml:space="preserve">P02</x:t>
        </x:is>
      </x:c>
      <x:c r="B41" t="inlineStr">
        <x:is>
          <x:t xml:space="preserve">北京邮电大学</x:t>
        </x:is>
      </x:c>
      <x:c r="C41" t="inlineStr">
        <x:is>
          <x:t xml:space="preserve">005</x:t>
        </x:is>
      </x:c>
      <x:c r="D41" t="inlineStr">
        <x:is>
          <x:t xml:space="preserve">085410</x:t>
        </x:is>
      </x:c>
      <x:c r="E41" t="inlineStr">
        <x:is>
          <x:t xml:space="preserve">初复试科目稳定性</x:t>
        </x:is>
      </x:c>
      <x:c r="F41" t="inlineStr">
        <x:is>
          <x:t xml:space="preserve">2D风险</x:t>
        </x:is>
      </x:c>
      <x:c r="G41" t="inlineStr">
        <x:is>
          <x:t xml:space="preserve">初试科目变化</x:t>
        </x:is>
      </x:c>
      <x:c r="H41" t="inlineStr">
        <x:is>
          <x:t xml:space="preserve">方向01人工智能与信息网络第四单元维持801通信原理(未变更)</x:t>
        </x:is>
      </x:c>
      <x:c r="I41" t="inlineStr">
        <x:is>
          <x:t xml:space="preserve">S-BUPT-M2</x:t>
        </x:is>
      </x:c>
      <x:c r="J41" t="inlineStr">
        <x:is>
          <x:t xml:space="preserve">S1</x:t>
        </x:is>
      </x:c>
      <x:c r="K41" t="inlineStr">
        <x:is>
          <x:t xml:space="preserve">不适用</x:t>
        </x:is>
      </x:c>
      <x:c r="L41" t="inlineStr">
        <x:is>
          <x:t xml:space="preserve">已证实</x:t>
        </x:is>
      </x:c>
      <x:c r="M41" t="inlineStr">
        <x:is>
          <x:t xml:space="preserve">年份/方向/计划口径须再核对；仅作为评分候选</x:t>
        </x:is>
      </x:c>
      <x:c r="N41" t="inlineStr">
        <x:is>
          <x:t xml:space="preserve">待人工评价</x:t>
        </x:is>
      </x:c>
    </x:row>
    <x:row r="42">
      <x:c r="A42" t="inlineStr">
        <x:is>
          <x:t xml:space="preserve">P02</x:t>
        </x:is>
      </x:c>
      <x:c r="B42" t="inlineStr">
        <x:is>
          <x:t xml:space="preserve">北京邮电大学</x:t>
        </x:is>
      </x:c>
      <x:c r="C42" t="inlineStr">
        <x:is>
          <x:t xml:space="preserve">005</x:t>
        </x:is>
      </x:c>
      <x:c r="D42" t="inlineStr">
        <x:is>
          <x:t xml:space="preserve">085410</x:t>
        </x:is>
      </x:c>
      <x:c r="E42" t="inlineStr">
        <x:is>
          <x:t xml:space="preserve">复试规则可预期性</x:t>
        </x:is>
      </x:c>
      <x:c r="F42" t="inlineStr">
        <x:is>
          <x:t xml:space="preserve">2D风险</x:t>
        </x:is>
      </x:c>
      <x:c r="G42" t="inlineStr">
        <x:is>
          <x:t xml:space="preserve">初试科目变化</x:t>
        </x:is>
      </x:c>
      <x:c r="H42" t="inlineStr">
        <x:is>
          <x:t xml:space="preserve">方向02人工智能与大数据第四单元:809数据结构→408计算机学科专业基础(全国统考)</x:t>
        </x:is>
      </x:c>
      <x:c r="I42" t="inlineStr">
        <x:is>
          <x:t xml:space="preserve">S-BUPT-M2</x:t>
        </x:is>
      </x:c>
      <x:c r="J42" t="inlineStr">
        <x:is>
          <x:t xml:space="preserve">S1</x:t>
        </x:is>
      </x:c>
      <x:c r="K42" t="inlineStr">
        <x:is>
          <x:t xml:space="preserve">不适用</x:t>
        </x:is>
      </x:c>
      <x:c r="L42" t="inlineStr">
        <x:is>
          <x:t xml:space="preserve">已证实</x:t>
        </x:is>
      </x:c>
      <x:c r="M42" t="inlineStr">
        <x:is>
          <x:t xml:space="preserve">年份/方向/计划口径须再核对；仅作为评分候选</x:t>
        </x:is>
      </x:c>
      <x:c r="N42" t="inlineStr">
        <x:is>
          <x:t xml:space="preserve">待人工评价</x:t>
        </x:is>
      </x:c>
    </x:row>
    <x:row r="43">
      <x:c r="A43" t="inlineStr">
        <x:is>
          <x:t xml:space="preserve">P02</x:t>
        </x:is>
      </x:c>
      <x:c r="B43" t="inlineStr">
        <x:is>
          <x:t xml:space="preserve">北京邮电大学</x:t>
        </x:is>
      </x:c>
      <x:c r="C43" t="inlineStr">
        <x:is>
          <x:t xml:space="preserve">005</x:t>
        </x:is>
      </x:c>
      <x:c r="D43" t="inlineStr">
        <x:is>
          <x:t xml:space="preserve">085410</x:t>
        </x:is>
      </x:c>
      <x:c r="E43" t="inlineStr">
        <x:is>
          <x:t xml:space="preserve">复试规则可预期性</x:t>
        </x:is>
      </x:c>
      <x:c r="F43" t="inlineStr">
        <x:is>
          <x:t xml:space="preserve">2D风险</x:t>
        </x:is>
      </x:c>
      <x:c r="G43" t="inlineStr">
        <x:is>
          <x:t xml:space="preserve">初试科目变化</x:t>
        </x:is>
      </x:c>
      <x:c r="H43" t="inlineStr">
        <x:is>
          <x:t xml:space="preserve">方向01人工智能与信息网络第四单元维持801通信原理(未变更)</x:t>
        </x:is>
      </x:c>
      <x:c r="I43" t="inlineStr">
        <x:is>
          <x:t xml:space="preserve">S-BUPT-M2</x:t>
        </x:is>
      </x:c>
      <x:c r="J43" t="inlineStr">
        <x:is>
          <x:t xml:space="preserve">S1</x:t>
        </x:is>
      </x:c>
      <x:c r="K43" t="inlineStr">
        <x:is>
          <x:t xml:space="preserve">不适用</x:t>
        </x:is>
      </x:c>
      <x:c r="L43" t="inlineStr">
        <x:is>
          <x:t xml:space="preserve">已证实</x:t>
        </x:is>
      </x:c>
      <x:c r="M43" t="inlineStr">
        <x:is>
          <x:t xml:space="preserve">年份/方向/计划口径须再核对；仅作为评分候选</x:t>
        </x:is>
      </x:c>
      <x:c r="N43" t="inlineStr">
        <x:is>
          <x:t xml:space="preserve">待人工评价</x:t>
        </x:is>
      </x:c>
    </x:row>
    <x:row r="44">
      <x:c r="A44" t="inlineStr">
        <x:is>
          <x:t xml:space="preserve">P02</x:t>
        </x:is>
      </x:c>
      <x:c r="B44" t="inlineStr">
        <x:is>
          <x:t xml:space="preserve">北京邮电大学</x:t>
        </x:is>
      </x:c>
      <x:c r="C44" t="inlineStr">
        <x:is>
          <x:t xml:space="preserve">005</x:t>
        </x:is>
      </x:c>
      <x:c r="D44" t="inlineStr">
        <x:is>
          <x:t xml:space="preserve">085410</x:t>
        </x:is>
      </x:c>
      <x:c r="E44" t="inlineStr">
        <x:is>
          <x:t xml:space="preserve">导师招生路径证据</x:t>
        </x:is>
      </x:c>
      <x:c r="F44" t="inlineStr">
        <x:is>
          <x:t xml:space="preserve">2D资源</x:t>
        </x:is>
      </x:c>
      <x:c r="G44" t="inlineStr">
        <x:is>
          <x:t xml:space="preserve">D3-硕士培养可进入性</x:t>
        </x:is>
      </x:c>
      <x:c r="H44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44" t="inlineStr">
        <x:is>
          <x:t xml:space="preserve">S-BUPT-P1</x:t>
        </x:is>
      </x:c>
      <x:c r="J44" t="inlineStr">
        <x:is>
          <x:t xml:space="preserve">S3</x:t>
        </x:is>
      </x:c>
      <x:c r="K44" t="inlineStr">
        <x:is>
          <x:t xml:space="preserve">P1</x:t>
        </x:is>
      </x:c>
      <x:c r="L44" t="inlineStr">
        <x:is>
          <x:t xml:space="preserve">已证实</x:t>
        </x:is>
      </x:c>
      <x:c r="M44" t="inlineStr">
        <x:is>
          <x:t xml:space="preserve">仅学院/专业级关联；未证该方向或导师可进入；不得自动打分；北邮方向01/02证据需分方向核验</x:t>
        </x:is>
      </x:c>
      <x:c r="N44" t="inlineStr">
        <x:is>
          <x:t xml:space="preserve">待人工评价</x:t>
        </x:is>
      </x:c>
    </x:row>
    <x:row r="45">
      <x:c r="A45" t="inlineStr">
        <x:is>
          <x:t xml:space="preserve">P02</x:t>
        </x:is>
      </x:c>
      <x:c r="B45" t="inlineStr">
        <x:is>
          <x:t xml:space="preserve">北京邮电大学</x:t>
        </x:is>
      </x:c>
      <x:c r="C45" t="inlineStr">
        <x:is>
          <x:t xml:space="preserve">005</x:t>
        </x:is>
      </x:c>
      <x:c r="D45" t="inlineStr">
        <x:is>
          <x:t xml:space="preserve">085410</x:t>
        </x:is>
      </x:c>
      <x:c r="E45" t="inlineStr">
        <x:is>
          <x:t xml:space="preserve">导师招生路径证据</x:t>
        </x:is>
      </x:c>
      <x:c r="F45" t="inlineStr">
        <x:is>
          <x:t xml:space="preserve">2D资源</x:t>
        </x:is>
      </x:c>
      <x:c r="G45" t="inlineStr">
        <x:is>
          <x:t xml:space="preserve">D3-硕士培养可进入性</x:t>
        </x:is>
      </x:c>
      <x:c r="H45" t="inlineStr">
        <x:is>
          <x:t xml:space="preserve">王小捷(人工智能系主任)讲述(S3): 北邮'企业联合毕业设计'+校企双导师制,企业导师从(本科)二年级介入;校企联合出题。</x:t>
        </x:is>
      </x:c>
      <x:c r="I45" t="inlineStr">
        <x:is>
          <x:t xml:space="preserve">S-BUPT-P2</x:t>
        </x:is>
      </x:c>
      <x:c r="J45" t="inlineStr">
        <x:is>
          <x:t xml:space="preserve">S3</x:t>
        </x:is>
      </x:c>
      <x:c r="K45" t="inlineStr">
        <x:is>
          <x:t xml:space="preserve">P2</x:t>
        </x:is>
      </x:c>
      <x:c r="L45" t="inlineStr">
        <x:is>
          <x:t xml:space="preserve">已证实</x:t>
        </x:is>
      </x:c>
      <x:c r="M45" t="inlineStr">
        <x:is>
          <x:t xml:space="preserve">仅学院/专业级关联；未证该方向或导师可进入；不得自动打分；北邮方向01/02证据需分方向核验</x:t>
        </x:is>
      </x:c>
      <x:c r="N45" t="inlineStr">
        <x:is>
          <x:t xml:space="preserve">待人工评价</x:t>
        </x:is>
      </x:c>
    </x:row>
    <x:row r="46">
      <x:c r="A46" t="inlineStr">
        <x:is>
          <x:t xml:space="preserve">P02</x:t>
        </x:is>
      </x:c>
      <x:c r="B46" t="inlineStr">
        <x:is>
          <x:t xml:space="preserve">北京邮电大学</x:t>
        </x:is>
      </x:c>
      <x:c r="C46" t="inlineStr">
        <x:is>
          <x:t xml:space="preserve">005</x:t>
        </x:is>
      </x:c>
      <x:c r="D46" t="inlineStr">
        <x:is>
          <x:t xml:space="preserve">085410</x:t>
        </x:is>
      </x:c>
      <x:c r="E46" t="inlineStr">
        <x:is>
          <x:t xml:space="preserve">导师招生路径证据</x:t>
        </x:is>
      </x:c>
      <x:c r="F46" t="inlineStr">
        <x:is>
          <x:t xml:space="preserve">2D风险</x:t>
        </x:is>
      </x:c>
      <x:c r="G46" t="inlineStr">
        <x:is>
          <x:t xml:space="preserve">初试科目变化</x:t>
        </x:is>
      </x:c>
      <x:c r="H46" t="inlineStr">
        <x:is>
          <x:t xml:space="preserve">方向02人工智能与大数据第四单元:809数据结构→408计算机学科专业基础(全国统考)</x:t>
        </x:is>
      </x:c>
      <x:c r="I46" t="inlineStr">
        <x:is>
          <x:t xml:space="preserve">S-BUPT-M2</x:t>
        </x:is>
      </x:c>
      <x:c r="J46" t="inlineStr">
        <x:is>
          <x:t xml:space="preserve">S1</x:t>
        </x:is>
      </x:c>
      <x:c r="K46" t="inlineStr">
        <x:is>
          <x:t xml:space="preserve">不适用</x:t>
        </x:is>
      </x:c>
      <x:c r="L46" t="inlineStr">
        <x:is>
          <x:t xml:space="preserve">已证实</x:t>
        </x:is>
      </x:c>
      <x:c r="M46" t="inlineStr">
        <x:is>
          <x:t xml:space="preserve">年份/方向/计划口径须再核对；仅作为评分候选</x:t>
        </x:is>
      </x:c>
      <x:c r="N46" t="inlineStr">
        <x:is>
          <x:t xml:space="preserve">待人工评价</x:t>
        </x:is>
      </x:c>
    </x:row>
    <x:row r="47">
      <x:c r="A47" t="inlineStr">
        <x:is>
          <x:t xml:space="preserve">P02</x:t>
        </x:is>
      </x:c>
      <x:c r="B47" t="inlineStr">
        <x:is>
          <x:t xml:space="preserve">北京邮电大学</x:t>
        </x:is>
      </x:c>
      <x:c r="C47" t="inlineStr">
        <x:is>
          <x:t xml:space="preserve">005</x:t>
        </x:is>
      </x:c>
      <x:c r="D47" t="inlineStr">
        <x:is>
          <x:t xml:space="preserve">085410</x:t>
        </x:is>
      </x:c>
      <x:c r="E47" t="inlineStr">
        <x:is>
          <x:t xml:space="preserve">导师招生路径证据</x:t>
        </x:is>
      </x:c>
      <x:c r="F47" t="inlineStr">
        <x:is>
          <x:t xml:space="preserve">2D风险</x:t>
        </x:is>
      </x:c>
      <x:c r="G47" t="inlineStr">
        <x:is>
          <x:t xml:space="preserve">初试科目变化</x:t>
        </x:is>
      </x:c>
      <x:c r="H47" t="inlineStr">
        <x:is>
          <x:t xml:space="preserve">方向01人工智能与信息网络第四单元维持801通信原理(未变更)</x:t>
        </x:is>
      </x:c>
      <x:c r="I47" t="inlineStr">
        <x:is>
          <x:t xml:space="preserve">S-BUPT-M2</x:t>
        </x:is>
      </x:c>
      <x:c r="J47" t="inlineStr">
        <x:is>
          <x:t xml:space="preserve">S1</x:t>
        </x:is>
      </x:c>
      <x:c r="K47" t="inlineStr">
        <x:is>
          <x:t xml:space="preserve">不适用</x:t>
        </x:is>
      </x:c>
      <x:c r="L47" t="inlineStr">
        <x:is>
          <x:t xml:space="preserve">已证实</x:t>
        </x:is>
      </x:c>
      <x:c r="M47" t="inlineStr">
        <x:is>
          <x:t xml:space="preserve">年份/方向/计划口径须再核对；仅作为评分候选</x:t>
        </x:is>
      </x:c>
      <x:c r="N47" t="inlineStr">
        <x:is>
          <x:t xml:space="preserve">待人工评价</x:t>
        </x:is>
      </x:c>
    </x:row>
    <x:row r="48">
      <x:c r="A48" t="inlineStr">
        <x:is>
          <x:t xml:space="preserve">P02</x:t>
        </x:is>
      </x:c>
      <x:c r="B48" t="inlineStr">
        <x:is>
          <x:t xml:space="preserve">北京邮电大学</x:t>
        </x:is>
      </x:c>
      <x:c r="C48" t="inlineStr">
        <x:is>
          <x:t xml:space="preserve">005</x:t>
        </x:is>
      </x:c>
      <x:c r="D48" t="inlineStr">
        <x:is>
          <x:t xml:space="preserve">085410</x:t>
        </x:is>
      </x:c>
      <x:c r="E48" t="inlineStr">
        <x:is>
          <x:t xml:space="preserve">实践机制适用性</x:t>
        </x:is>
      </x:c>
      <x:c r="F48" t="inlineStr">
        <x:is>
          <x:t xml:space="preserve">2D资源</x:t>
        </x:is>
      </x:c>
      <x:c r="G48" t="inlineStr">
        <x:is>
          <x:t xml:space="preserve">D3-硕士培养可进入性</x:t>
        </x:is>
      </x:c>
      <x:c r="H48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48" t="inlineStr">
        <x:is>
          <x:t xml:space="preserve">S-BUPT-P1</x:t>
        </x:is>
      </x:c>
      <x:c r="J48" t="inlineStr">
        <x:is>
          <x:t xml:space="preserve">S3</x:t>
        </x:is>
      </x:c>
      <x:c r="K48" t="inlineStr">
        <x:is>
          <x:t xml:space="preserve">P1</x:t>
        </x:is>
      </x:c>
      <x:c r="L48" t="inlineStr">
        <x:is>
          <x:t xml:space="preserve">已证实</x:t>
        </x:is>
      </x:c>
      <x:c r="M48" t="inlineStr">
        <x:is>
          <x:t xml:space="preserve">仅学院/专业级关联；未证该方向或导师可进入；不得自动打分；北邮方向01/02证据需分方向核验</x:t>
        </x:is>
      </x:c>
      <x:c r="N48" t="inlineStr">
        <x:is>
          <x:t xml:space="preserve">待人工评价</x:t>
        </x:is>
      </x:c>
    </x:row>
    <x:row r="49">
      <x:c r="A49" t="inlineStr">
        <x:is>
          <x:t xml:space="preserve">P02</x:t>
        </x:is>
      </x:c>
      <x:c r="B49" t="inlineStr">
        <x:is>
          <x:t xml:space="preserve">北京邮电大学</x:t>
        </x:is>
      </x:c>
      <x:c r="C49" t="inlineStr">
        <x:is>
          <x:t xml:space="preserve">005</x:t>
        </x:is>
      </x:c>
      <x:c r="D49" t="inlineStr">
        <x:is>
          <x:t xml:space="preserve">085410</x:t>
        </x:is>
      </x:c>
      <x:c r="E49" t="inlineStr">
        <x:is>
          <x:t xml:space="preserve">实践机制适用性</x:t>
        </x:is>
      </x:c>
      <x:c r="F49" t="inlineStr">
        <x:is>
          <x:t xml:space="preserve">2D资源</x:t>
        </x:is>
      </x:c>
      <x:c r="G49" t="inlineStr">
        <x:is>
          <x:t xml:space="preserve">D3-硕士培养可进入性</x:t>
        </x:is>
      </x:c>
      <x:c r="H49" t="inlineStr">
        <x:is>
          <x:t xml:space="preserve">王小捷(人工智能系主任)讲述(S3): 北邮'企业联合毕业设计'+校企双导师制,企业导师从(本科)二年级介入;校企联合出题。</x:t>
        </x:is>
      </x:c>
      <x:c r="I49" t="inlineStr">
        <x:is>
          <x:t xml:space="preserve">S-BUPT-P2</x:t>
        </x:is>
      </x:c>
      <x:c r="J49" t="inlineStr">
        <x:is>
          <x:t xml:space="preserve">S3</x:t>
        </x:is>
      </x:c>
      <x:c r="K49" t="inlineStr">
        <x:is>
          <x:t xml:space="preserve">P2</x:t>
        </x:is>
      </x:c>
      <x:c r="L49" t="inlineStr">
        <x:is>
          <x:t xml:space="preserve">已证实</x:t>
        </x:is>
      </x:c>
      <x:c r="M49" t="inlineStr">
        <x:is>
          <x:t xml:space="preserve">仅学院/专业级关联；未证该方向或导师可进入；不得自动打分；北邮方向01/02证据需分方向核验</x:t>
        </x:is>
      </x:c>
      <x:c r="N49" t="inlineStr">
        <x:is>
          <x:t xml:space="preserve">待人工评价</x:t>
        </x:is>
      </x:c>
    </x:row>
    <x:row r="50">
      <x:c r="A50" t="inlineStr">
        <x:is>
          <x:t xml:space="preserve">P02</x:t>
        </x:is>
      </x:c>
      <x:c r="B50" t="inlineStr">
        <x:is>
          <x:t xml:space="preserve">北京邮电大学</x:t>
        </x:is>
      </x:c>
      <x:c r="C50" t="inlineStr">
        <x:is>
          <x:t xml:space="preserve">005</x:t>
        </x:is>
      </x:c>
      <x:c r="D50" t="inlineStr">
        <x:is>
          <x:t xml:space="preserve">085410</x:t>
        </x:is>
      </x:c>
      <x:c r="E50" t="inlineStr">
        <x:is>
          <x:t xml:space="preserve">平台资源可进入性</x:t>
        </x:is>
      </x:c>
      <x:c r="F50" t="inlineStr">
        <x:is>
          <x:t xml:space="preserve">2D资源</x:t>
        </x:is>
      </x:c>
      <x:c r="G50" t="inlineStr">
        <x:is>
          <x:t xml:space="preserve">D2-科研与工程资源</x:t>
        </x:is>
      </x:c>
      <x:c r="H50" t="inlineStr">
        <x:is>
          <x:t xml:space="preserve">校级超算平台;国家人工智能产教融合创新平台(北邮);'智能机器人与系统'省部级重点实验室;DeepTouch Lab具身触觉实验平台;文旅部交互技术与体验系统重点实验室。</x:t>
        </x:is>
      </x:c>
      <x:c r="I50" t="inlineStr">
        <x:is>
          <x:t xml:space="preserve">S13;S14;S15;S09;S10;S16</x:t>
        </x:is>
      </x:c>
      <x:c r="J50" t="inlineStr">
        <x:is>
          <x:t xml:space="preserve">S2</x:t>
        </x:is>
      </x:c>
      <x:c r="K50" t="inlineStr">
        <x:is>
          <x:t xml:space="preserve">P3</x:t>
        </x:is>
      </x:c>
      <x:c r="L50" t="inlineStr">
        <x:is>
          <x:t xml:space="preserve">已证实(资源存在)</x:t>
        </x:is>
      </x:c>
      <x:c r="M50" t="inlineStr">
        <x:is>
          <x:t xml:space="preserve">仅学院/专业级关联；未证该方向或导师可进入；不得自动打分；北邮方向01/02证据需分方向核验</x:t>
        </x:is>
      </x:c>
      <x:c r="N50" t="inlineStr">
        <x:is>
          <x:t xml:space="preserve">待人工评价</x:t>
        </x:is>
      </x:c>
    </x:row>
    <x:row r="51">
      <x:c r="A51" t="inlineStr">
        <x:is>
          <x:t xml:space="preserve">P02</x:t>
        </x:is>
      </x:c>
      <x:c r="B51" t="inlineStr">
        <x:is>
          <x:t xml:space="preserve">北京邮电大学</x:t>
        </x:is>
      </x:c>
      <x:c r="C51" t="inlineStr">
        <x:is>
          <x:t xml:space="preserve">005</x:t>
        </x:is>
      </x:c>
      <x:c r="D51" t="inlineStr">
        <x:is>
          <x:t xml:space="preserve">085410</x:t>
        </x:is>
      </x:c>
      <x:c r="E51" t="inlineStr">
        <x:is>
          <x:t xml:space="preserve">平台资源可进入性</x:t>
        </x:is>
      </x:c>
      <x:c r="F51" t="inlineStr">
        <x:is>
          <x:t xml:space="preserve">2D资源</x:t>
        </x:is>
      </x:c>
      <x:c r="G51" t="inlineStr">
        <x:is>
          <x:t xml:space="preserve">D2-科研与工程资源</x:t>
        </x:is>
      </x:c>
      <x:c r="H51" t="inlineStr">
        <x:is>
          <x:t xml:space="preserve">具身智能产业合作:优必选、智元机器人、擎朗智能、五八智能科技。</x:t>
        </x:is>
      </x:c>
      <x:c r="I51" t="inlineStr">
        <x:is>
          <x:t xml:space="preserve">S10;S16</x:t>
        </x:is>
      </x:c>
      <x:c r="J51" t="inlineStr">
        <x:is>
          <x:t xml:space="preserve">S3</x:t>
        </x:is>
      </x:c>
      <x:c r="K51" t="inlineStr">
        <x:is>
          <x:t xml:space="preserve">P3</x:t>
        </x:is>
      </x:c>
      <x:c r="L51" t="inlineStr">
        <x:is>
          <x:t xml:space="preserve">已证实(合作存在)</x:t>
        </x:is>
      </x:c>
      <x:c r="M51" t="inlineStr">
        <x:is>
          <x:t xml:space="preserve">仅学院/专业级关联；未证该方向或导师可进入；不得自动打分；北邮方向01/02证据需分方向核验</x:t>
        </x:is>
      </x:c>
      <x:c r="N51" t="inlineStr">
        <x:is>
          <x:t xml:space="preserve">待人工评价</x:t>
        </x:is>
      </x:c>
    </x:row>
    <x:row r="52">
      <x:c r="A52" t="inlineStr">
        <x:is>
          <x:t xml:space="preserve">P02</x:t>
        </x:is>
      </x:c>
      <x:c r="B52" t="inlineStr">
        <x:is>
          <x:t xml:space="preserve">北京邮电大学</x:t>
        </x:is>
      </x:c>
      <x:c r="C52" t="inlineStr">
        <x:is>
          <x:t xml:space="preserve">005</x:t>
        </x:is>
      </x:c>
      <x:c r="D52" t="inlineStr">
        <x:is>
          <x:t xml:space="preserve">085410</x:t>
        </x:is>
      </x:c>
      <x:c r="E52" t="inlineStr">
        <x:is>
          <x:t xml:space="preserve">城市AI岗位生态</x:t>
        </x:is>
      </x:c>
      <x:c r="F52" t="inlineStr">
        <x:is>
          <x:t xml:space="preserve">2D资源</x:t>
        </x:is>
      </x:c>
      <x:c r="G52" t="inlineStr">
        <x:is>
          <x:t xml:space="preserve">D4-就业与产业连接</x:t>
        </x:is>
      </x:c>
      <x:c r="H52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52" t="inlineStr">
        <x:is>
          <x:t xml:space="preserve">S-BUPT-J1</x:t>
        </x:is>
      </x:c>
      <x:c r="J52" t="inlineStr">
        <x:is>
          <x:t xml:space="preserve">S4</x:t>
        </x:is>
      </x:c>
      <x:c r="K52" t="inlineStr">
        <x:is>
          <x:t xml:space="preserve">P3</x:t>
        </x:is>
      </x:c>
      <x:c r="L52" t="inlineStr">
        <x:is>
          <x:t xml:space="preserve">线索(全校级)</x:t>
        </x:is>
      </x:c>
      <x:c r="M52" t="inlineStr">
        <x:is>
          <x:t xml:space="preserve">仅学院/专业级关联；未证该方向或导师可进入；不得自动打分；北邮方向01/02证据需分方向核验</x:t>
        </x:is>
      </x:c>
      <x:c r="N52" t="inlineStr">
        <x:is>
          <x:t xml:space="preserve">待人工评价</x:t>
        </x:is>
      </x:c>
    </x:row>
    <x:row r="53">
      <x:c r="A53" t="inlineStr">
        <x:is>
          <x:t xml:space="preserve">P02</x:t>
        </x:is>
      </x:c>
      <x:c r="B53" t="inlineStr">
        <x:is>
          <x:t xml:space="preserve">北京邮电大学</x:t>
        </x:is>
      </x:c>
      <x:c r="C53" t="inlineStr">
        <x:is>
          <x:t xml:space="preserve">005</x:t>
        </x:is>
      </x:c>
      <x:c r="D53" t="inlineStr">
        <x:is>
          <x:t xml:space="preserve">085410</x:t>
        </x:is>
      </x:c>
      <x:c r="E53" t="inlineStr">
        <x:is>
          <x:t xml:space="preserve">实习合作半径</x:t>
        </x:is>
      </x:c>
      <x:c r="F53" t="inlineStr">
        <x:is>
          <x:t xml:space="preserve">2D资源</x:t>
        </x:is>
      </x:c>
      <x:c r="G53" t="inlineStr">
        <x:is>
          <x:t xml:space="preserve">D4-就业与产业连接</x:t>
        </x:is>
      </x:c>
      <x:c r="H53" t="inlineStr">
        <x:is>
          <x:t xml:space="preserve">北邮2022届就业质量报告(S4-线索,全校级): 研究生主要就业单位含阿里、华为、腾讯、字节;研究生流向民企34.11%/国企31.01%/三资21.67%;总体满意度98.49%。</x:t>
        </x:is>
      </x:c>
      <x:c r="I53" t="inlineStr">
        <x:is>
          <x:t xml:space="preserve">S-BUPT-J1</x:t>
        </x:is>
      </x:c>
      <x:c r="J53" t="inlineStr">
        <x:is>
          <x:t xml:space="preserve">S4</x:t>
        </x:is>
      </x:c>
      <x:c r="K53" t="inlineStr">
        <x:is>
          <x:t xml:space="preserve">P3</x:t>
        </x:is>
      </x:c>
      <x:c r="L53" t="inlineStr">
        <x:is>
          <x:t xml:space="preserve">线索(全校级)</x:t>
        </x:is>
      </x:c>
      <x:c r="M53" t="inlineStr">
        <x:is>
          <x:t xml:space="preserve">仅学院/专业级关联；未证该方向或导师可进入；不得自动打分；北邮方向01/02证据需分方向核验</x:t>
        </x:is>
      </x:c>
      <x:c r="N53" t="inlineStr">
        <x:is>
          <x:t xml:space="preserve">待人工评价</x:t>
        </x:is>
      </x:c>
    </x:row>
    <x:row r="54">
      <x:c r="A54" t="inlineStr">
        <x:is>
          <x:t xml:space="preserve">P02</x:t>
        </x:is>
      </x:c>
      <x:c r="B54" t="inlineStr">
        <x:is>
          <x:t xml:space="preserve">北京邮电大学</x:t>
        </x:is>
      </x:c>
      <x:c r="C54" t="inlineStr">
        <x:is>
          <x:t xml:space="preserve">005</x:t>
        </x:is>
      </x:c>
      <x:c r="D54" t="inlineStr">
        <x:is>
          <x:t xml:space="preserve">085410</x:t>
        </x:is>
      </x:c>
      <x:c r="E54" t="inlineStr">
        <x:is>
          <x:t xml:space="preserve">学制与企业实践</x:t>
        </x:is>
      </x:c>
      <x:c r="F54" t="inlineStr">
        <x:is>
          <x:t xml:space="preserve">2D资源</x:t>
        </x:is>
      </x:c>
      <x:c r="G54" t="inlineStr">
        <x:is>
          <x:t xml:space="preserve">D3-硕士培养可进入性</x:t>
        </x:is>
      </x:c>
      <x:c r="H54" t="inlineStr">
        <x:is>
          <x:t xml:space="preserve">北邮全日制硕士专业学位研究生专业实践制度(S2/S3): 双导师制(企业导师来自与校内导师合作的企业);专业实践≥半年(应届原则上≥一年);可派驻企业或进工程硕士联合培养基地。</x:t>
        </x:is>
      </x:c>
      <x:c r="I54" t="inlineStr">
        <x:is>
          <x:t xml:space="preserve">S-BUPT-P1</x:t>
        </x:is>
      </x:c>
      <x:c r="J54" t="inlineStr">
        <x:is>
          <x:t xml:space="preserve">S3</x:t>
        </x:is>
      </x:c>
      <x:c r="K54" t="inlineStr">
        <x:is>
          <x:t xml:space="preserve">P1</x:t>
        </x:is>
      </x:c>
      <x:c r="L54" t="inlineStr">
        <x:is>
          <x:t xml:space="preserve">已证实</x:t>
        </x:is>
      </x:c>
      <x:c r="M54" t="inlineStr">
        <x:is>
          <x:t xml:space="preserve">仅学院/专业级关联；未证该方向或导师可进入；不得自动打分；北邮方向01/02证据需分方向核验</x:t>
        </x:is>
      </x:c>
      <x:c r="N54" t="inlineStr">
        <x:is>
          <x:t xml:space="preserve">待人工评价</x:t>
        </x:is>
      </x:c>
    </x:row>
    <x:row r="55">
      <x:c r="A55" t="inlineStr">
        <x:is>
          <x:t xml:space="preserve">P02</x:t>
        </x:is>
      </x:c>
      <x:c r="B55" t="inlineStr">
        <x:is>
          <x:t xml:space="preserve">北京邮电大学</x:t>
        </x:is>
      </x:c>
      <x:c r="C55" t="inlineStr">
        <x:is>
          <x:t xml:space="preserve">005</x:t>
        </x:is>
      </x:c>
      <x:c r="D55" t="inlineStr">
        <x:is>
          <x:t xml:space="preserve">085410</x:t>
        </x:is>
      </x:c>
      <x:c r="E55" t="inlineStr">
        <x:is>
          <x:t xml:space="preserve">学制与企业实践</x:t>
        </x:is>
      </x:c>
      <x:c r="F55" t="inlineStr">
        <x:is>
          <x:t xml:space="preserve">2D资源</x:t>
        </x:is>
      </x:c>
      <x:c r="G55" t="inlineStr">
        <x:is>
          <x:t xml:space="preserve">D3-硕士培养可进入性</x:t>
        </x:is>
      </x:c>
      <x:c r="H55" t="inlineStr">
        <x:is>
          <x:t xml:space="preserve">王小捷(人工智能系主任)讲述(S3): 北邮'企业联合毕业设计'+校企双导师制,企业导师从(本科)二年级介入;校企联合出题。</x:t>
        </x:is>
      </x:c>
      <x:c r="I55" t="inlineStr">
        <x:is>
          <x:t xml:space="preserve">S-BUPT-P2</x:t>
        </x:is>
      </x:c>
      <x:c r="J55" t="inlineStr">
        <x:is>
          <x:t xml:space="preserve">S3</x:t>
        </x:is>
      </x:c>
      <x:c r="K55" t="inlineStr">
        <x:is>
          <x:t xml:space="preserve">P2</x:t>
        </x:is>
      </x:c>
      <x:c r="L55" t="inlineStr">
        <x:is>
          <x:t xml:space="preserve">已证实</x:t>
        </x:is>
      </x:c>
      <x:c r="M55" t="inlineStr">
        <x:is>
          <x:t xml:space="preserve">仅学院/专业级关联；未证该方向或导师可进入；不得自动打分；北邮方向01/02证据需分方向核验</x:t>
        </x:is>
      </x:c>
      <x:c r="N55" t="inlineStr">
        <x:is>
          <x:t xml:space="preserve">待人工评价</x:t>
        </x:is>
      </x:c>
    </x:row>
    <x:row r="56">
      <x:c r="A56" t="inlineStr">
        <x:is>
          <x:t xml:space="preserve">P03</x:t>
        </x:is>
      </x:c>
      <x:c r="B56" t="inlineStr">
        <x:is>
          <x:t xml:space="preserve">电子科技大学</x:t>
        </x:is>
      </x:c>
      <x:c r="C56" t="inlineStr">
        <x:is>
          <x:t xml:space="preserve">008</x:t>
        </x:is>
      </x:c>
      <x:c r="D56" t="inlineStr">
        <x:is>
          <x:t xml:space="preserve">085404</x:t>
        </x:is>
      </x:c>
      <x:c r="E56" t="inlineStr">
        <x:is>
          <x:t xml:space="preserve">岗位与实习机会</x:t>
        </x:is>
      </x:c>
      <x:c r="F56" t="inlineStr">
        <x:is>
          <x:t xml:space="preserve">2D资源</x:t>
        </x:is>
      </x:c>
      <x:c r="G56" t="inlineStr">
        <x:is>
          <x:t xml:space="preserve">D4-就业与产业连接</x:t>
        </x:is>
      </x:c>
      <x:c r="H56" t="inlineStr">
        <x:is>
          <x:t xml:space="preserve">计算机学院官网(S2,学院级): 研究生赴国家重点单位就业率达到51.76%(2023届);本科生深造率68.13%。</x:t>
        </x:is>
      </x:c>
      <x:c r="I56" t="inlineStr">
        <x:is>
          <x:t xml:space="preserve">S-UESTC-J1</x:t>
        </x:is>
      </x:c>
      <x:c r="J56" t="inlineStr">
        <x:is>
          <x:t xml:space="preserve">S2</x:t>
        </x:is>
      </x:c>
      <x:c r="K56" t="inlineStr">
        <x:is>
          <x:t xml:space="preserve">P1</x:t>
        </x:is>
      </x:c>
      <x:c r="L56" t="inlineStr">
        <x:is>
          <x:t xml:space="preserve">已证实(学院级)</x:t>
        </x:is>
      </x:c>
      <x:c r="M56" t="inlineStr">
        <x:is>
          <x:t xml:space="preserve">仅学院/专业级关联；未证该方向或导师可进入；不得自动打分</x:t>
        </x:is>
      </x:c>
      <x:c r="N56" t="inlineStr">
        <x:is>
          <x:t xml:space="preserve">待人工评价</x:t>
        </x:is>
      </x:c>
    </x:row>
    <x:row r="57">
      <x:c r="A57" t="inlineStr">
        <x:is>
          <x:t xml:space="preserve">P03</x:t>
        </x:is>
      </x:c>
      <x:c r="B57" t="inlineStr">
        <x:is>
          <x:t xml:space="preserve">电子科技大学</x:t>
        </x:is>
      </x:c>
      <x:c r="C57" t="inlineStr">
        <x:is>
          <x:t xml:space="preserve">008</x:t>
        </x:is>
      </x:c>
      <x:c r="D57" t="inlineStr">
        <x:is>
          <x:t xml:space="preserve">085404</x:t>
        </x:is>
      </x:c>
      <x:c r="E57" t="inlineStr">
        <x:is>
          <x:t xml:space="preserve">岗位与实习机会</x:t>
        </x:is>
      </x:c>
      <x:c r="F57" t="inlineStr">
        <x:is>
          <x:t xml:space="preserve">2D资源</x:t>
        </x:is>
      </x:c>
      <x:c r="G57" t="inlineStr">
        <x:is>
          <x:t xml:space="preserve">D4-就业与产业连接</x:t>
        </x:is>
      </x:c>
      <x:c r="H57" t="inlineStr">
        <x:is>
          <x:t xml:space="preserve">电子科大计算机学院(S2,学院级): 60%以上研究生毕业后赴国防重点单位、西部地区、基层单位就业;涌现5名'华为天才少年'。</x:t>
        </x:is>
      </x:c>
      <x:c r="I57" t="inlineStr">
        <x:is>
          <x:t xml:space="preserve">S-UESTC-J2</x:t>
        </x:is>
      </x:c>
      <x:c r="J57" t="inlineStr">
        <x:is>
          <x:t xml:space="preserve">S2</x:t>
        </x:is>
      </x:c>
      <x:c r="K57" t="inlineStr">
        <x:is>
          <x:t xml:space="preserve">P1</x:t>
        </x:is>
      </x:c>
      <x:c r="L57" t="inlineStr">
        <x:is>
          <x:t xml:space="preserve">已证实(学院级)</x:t>
        </x:is>
      </x:c>
      <x:c r="M57" t="inlineStr">
        <x:is>
          <x:t xml:space="preserve">仅学院/专业级关联；未证该方向或导师可进入；不得自动打分</x:t>
        </x:is>
      </x:c>
      <x:c r="N57" t="inlineStr">
        <x:is>
          <x:t xml:space="preserve">待人工评价</x:t>
        </x:is>
      </x:c>
    </x:row>
    <x:row r="58">
      <x:c r="A58" t="inlineStr">
        <x:is>
          <x:t xml:space="preserve">P03</x:t>
        </x:is>
      </x:c>
      <x:c r="B58" t="inlineStr">
        <x:is>
          <x:t xml:space="preserve">电子科技大学</x:t>
        </x:is>
      </x:c>
      <x:c r="C58" t="inlineStr">
        <x:is>
          <x:t xml:space="preserve">008</x:t>
        </x:is>
      </x:c>
      <x:c r="D58" t="inlineStr">
        <x:is>
          <x:t xml:space="preserve">085404</x:t>
        </x:is>
      </x:c>
      <x:c r="E58" t="inlineStr">
        <x:is>
          <x:t xml:space="preserve">产业合作可参与性</x:t>
        </x:is>
      </x:c>
      <x:c r="F58" t="inlineStr">
        <x:is>
          <x:t xml:space="preserve">2D资源</x:t>
        </x:is>
      </x:c>
      <x:c r="G58" t="inlineStr">
        <x:is>
          <x:t xml:space="preserve">D2-科研与工程资源</x:t>
        </x:is>
      </x:c>
      <x:c r="H58" t="inlineStr">
        <x:is>
          <x:t xml:space="preserve">校级高性能计算平台(HPC);天府绛溪实验室(四川省天府实验室,共建单位含交互人形机器人前沿研究中心);人机智能技术与系统教育部工程研究中心。</x:t>
        </x:is>
      </x:c>
      <x:c r="I58" t="inlineStr">
        <x:is>
          <x:t xml:space="preserve">U10;U11;U12;U07;U08</x:t>
        </x:is>
      </x:c>
      <x:c r="J58" t="inlineStr">
        <x:is>
          <x:t xml:space="preserve">S2</x:t>
        </x:is>
      </x:c>
      <x:c r="K58" t="inlineStr">
        <x:is>
          <x:t xml:space="preserve">P3</x:t>
        </x:is>
      </x:c>
      <x:c r="L58" t="inlineStr">
        <x:is>
          <x:t xml:space="preserve">已证实(资源存在)</x:t>
        </x:is>
      </x:c>
      <x:c r="M58" t="inlineStr">
        <x:is>
          <x:t xml:space="preserve">仅学院/专业级关联；未证该方向或导师可进入；不得自动打分</x:t>
        </x:is>
      </x:c>
      <x:c r="N58" t="inlineStr">
        <x:is>
          <x:t xml:space="preserve">待人工评价</x:t>
        </x:is>
      </x:c>
    </x:row>
    <x:row r="59">
      <x:c r="A59" t="inlineStr">
        <x:is>
          <x:t xml:space="preserve">P03</x:t>
        </x:is>
      </x:c>
      <x:c r="B59" t="inlineStr">
        <x:is>
          <x:t xml:space="preserve">电子科技大学</x:t>
        </x:is>
      </x:c>
      <x:c r="C59" t="inlineStr">
        <x:is>
          <x:t xml:space="preserve">008</x:t>
        </x:is>
      </x:c>
      <x:c r="D59" t="inlineStr">
        <x:is>
          <x:t xml:space="preserve">085404</x:t>
        </x:is>
      </x:c>
      <x:c r="E59" t="inlineStr">
        <x:is>
          <x:t xml:space="preserve">产业合作可参与性</x:t>
        </x:is>
      </x:c>
      <x:c r="F59" t="inlineStr">
        <x:is>
          <x:t xml:space="preserve">2D资源</x:t>
        </x:is>
      </x:c>
      <x:c r="G59" t="inlineStr">
        <x:is>
          <x:t xml:space="preserve">D3-硕士培养可进入性</x:t>
        </x:is>
      </x:c>
      <x:c r="H59" t="inlineStr">
        <x:is>
          <x:t xml:space="preserve">电子科大工程类专业学位硕士研究生专业实践(双导师制)(S2)。</x:t>
        </x:is>
      </x:c>
      <x:c r="I59" t="inlineStr">
        <x:is>
          <x:t xml:space="preserve">U04;U15;U16</x:t>
        </x:is>
      </x:c>
      <x:c r="J59" t="inlineStr">
        <x:is>
          <x:t xml:space="preserve">S2</x:t>
        </x:is>
      </x:c>
      <x:c r="K59" t="inlineStr">
        <x:is>
          <x:t xml:space="preserve">P2</x:t>
        </x:is>
      </x:c>
      <x:c r="L59" t="inlineStr">
        <x:is>
          <x:t xml:space="preserve">已证实(机制)</x:t>
        </x:is>
      </x:c>
      <x:c r="M59" t="inlineStr">
        <x:is>
          <x:t xml:space="preserve">仅学院/专业级关联；未证该方向或导师可进入；不得自动打分</x:t>
        </x:is>
      </x:c>
      <x:c r="N59" t="inlineStr">
        <x:is>
          <x:t xml:space="preserve">待人工评价</x:t>
        </x:is>
      </x:c>
    </x:row>
    <x:row r="60">
      <x:c r="A60" t="inlineStr">
        <x:is>
          <x:t xml:space="preserve">P03</x:t>
        </x:is>
      </x:c>
      <x:c r="B60" t="inlineStr">
        <x:is>
          <x:t xml:space="preserve">电子科技大学</x:t>
        </x:is>
      </x:c>
      <x:c r="C60" t="inlineStr">
        <x:is>
          <x:t xml:space="preserve">008</x:t>
        </x:is>
      </x:c>
      <x:c r="D60" t="inlineStr">
        <x:is>
          <x:t xml:space="preserve">085404</x:t>
        </x:is>
      </x:c>
      <x:c r="E60" t="inlineStr">
        <x:is>
          <x:t xml:space="preserve">Agent/LLM能力积累</x:t>
        </x:is>
      </x:c>
      <x:c r="F60" t="inlineStr">
        <x:is>
          <x:t xml:space="preserve">2D资源</x:t>
        </x:is>
      </x:c>
      <x:c r="G60" t="inlineStr">
        <x:is>
          <x:t xml:space="preserve">D1-AI科研方向匹配</x:t>
        </x:is>
      </x:c>
      <x:c r="H60" t="inlineStr">
        <x:is>
          <x:t xml:space="preserve">未来媒体研究中心(CFM,申恒涛):多媒体搜索/CV/AI/大数据;跨媒体智能与具身智能方向(王国庆):Embodied AI;宋井宽:CV/多媒体智能理解。方向覆盖多模态/具身/CV。</x:t>
        </x:is>
      </x:c>
      <x:c r="I60" t="inlineStr">
        <x:is>
          <x:t xml:space="preserve">U02;S-UESTC-M1;S-UESTC-M5</x:t>
        </x:is>
      </x:c>
      <x:c r="J60" t="inlineStr">
        <x:is>
          <x:t xml:space="preserve">S2</x:t>
        </x:is>
      </x:c>
      <x:c r="K60" t="inlineStr">
        <x:is>
          <x:t xml:space="preserve">P2</x:t>
        </x:is>
      </x:c>
      <x:c r="L60" t="inlineStr">
        <x:is>
          <x:t xml:space="preserve">已证实(方向)</x:t>
        </x:is>
      </x:c>
      <x:c r="M60" t="inlineStr">
        <x:is>
          <x:t xml:space="preserve">仅学院/专业级关联；未证该方向或导师可进入；不得自动打分</x:t>
        </x:is>
      </x:c>
      <x:c r="N60" t="inlineStr">
        <x:is>
          <x:t xml:space="preserve">待人工评价</x:t>
        </x:is>
      </x:c>
    </x:row>
    <x:row r="61">
      <x:c r="A61" t="inlineStr">
        <x:is>
          <x:t xml:space="preserve">P03</x:t>
        </x:is>
      </x:c>
      <x:c r="B61" t="inlineStr">
        <x:is>
          <x:t xml:space="preserve">电子科技大学</x:t>
        </x:is>
      </x:c>
      <x:c r="C61" t="inlineStr">
        <x:is>
          <x:t xml:space="preserve">008</x:t>
        </x:is>
      </x:c>
      <x:c r="D61" t="inlineStr">
        <x:is>
          <x:t xml:space="preserve">085404</x:t>
        </x:is>
      </x:c>
      <x:c r="E61" t="inlineStr">
        <x:is>
          <x:t xml:space="preserve">Agent/LLM能力积累</x:t>
        </x:is>
      </x:c>
      <x:c r="F61" t="inlineStr">
        <x:is>
          <x:t xml:space="preserve">2D资源</x:t>
        </x:is>
      </x:c>
      <x:c r="G61" t="inlineStr">
        <x:is>
          <x:t xml:space="preserve">D2-科研与工程资源</x:t>
        </x:is>
      </x:c>
      <x:c r="H61" t="inlineStr">
        <x:is>
          <x:t xml:space="preserve">校级高性能计算平台(HPC);天府绛溪实验室(四川省天府实验室,共建单位含交互人形机器人前沿研究中心);人机智能技术与系统教育部工程研究中心。</x:t>
        </x:is>
      </x:c>
      <x:c r="I61" t="inlineStr">
        <x:is>
          <x:t xml:space="preserve">U10;U11;U12;U07;U08</x:t>
        </x:is>
      </x:c>
      <x:c r="J61" t="inlineStr">
        <x:is>
          <x:t xml:space="preserve">S2</x:t>
        </x:is>
      </x:c>
      <x:c r="K61" t="inlineStr">
        <x:is>
          <x:t xml:space="preserve">P3</x:t>
        </x:is>
      </x:c>
      <x:c r="L61" t="inlineStr">
        <x:is>
          <x:t xml:space="preserve">已证实(资源存在)</x:t>
        </x:is>
      </x:c>
      <x:c r="M61" t="inlineStr">
        <x:is>
          <x:t xml:space="preserve">仅学院/专业级关联；未证该方向或导师可进入；不得自动打分</x:t>
        </x:is>
      </x:c>
      <x:c r="N61" t="inlineStr">
        <x:is>
          <x:t xml:space="preserve">待人工评价</x:t>
        </x:is>
      </x:c>
    </x:row>
    <x:row r="62">
      <x:c r="A62" t="inlineStr">
        <x:is>
          <x:t xml:space="preserve">P03</x:t>
        </x:is>
      </x:c>
      <x:c r="B62" t="inlineStr">
        <x:is>
          <x:t xml:space="preserve">电子科技大学</x:t>
        </x:is>
      </x:c>
      <x:c r="C62" t="inlineStr">
        <x:is>
          <x:t xml:space="preserve">008</x:t>
        </x:is>
      </x:c>
      <x:c r="D62" t="inlineStr">
        <x:is>
          <x:t xml:space="preserve">085404</x:t>
        </x:is>
      </x:c>
      <x:c r="E62" t="inlineStr">
        <x:is>
          <x:t xml:space="preserve">具身/机器人发展空间</x:t>
        </x:is>
      </x:c>
      <x:c r="F62" t="inlineStr">
        <x:is>
          <x:t xml:space="preserve">2D资源</x:t>
        </x:is>
      </x:c>
      <x:c r="G62" t="inlineStr">
        <x:is>
          <x:t xml:space="preserve">D1-AI科研方向匹配</x:t>
        </x:is>
      </x:c>
      <x:c r="H62" t="inlineStr">
        <x:is>
          <x:t xml:space="preserve">未来媒体研究中心(CFM,申恒涛):多媒体搜索/CV/AI/大数据;跨媒体智能与具身智能方向(王国庆):Embodied AI;宋井宽:CV/多媒体智能理解。方向覆盖多模态/具身/CV。</x:t>
        </x:is>
      </x:c>
      <x:c r="I62" t="inlineStr">
        <x:is>
          <x:t xml:space="preserve">U02;S-UESTC-M1;S-UESTC-M5</x:t>
        </x:is>
      </x:c>
      <x:c r="J62" t="inlineStr">
        <x:is>
          <x:t xml:space="preserve">S2</x:t>
        </x:is>
      </x:c>
      <x:c r="K62" t="inlineStr">
        <x:is>
          <x:t xml:space="preserve">P2</x:t>
        </x:is>
      </x:c>
      <x:c r="L62" t="inlineStr">
        <x:is>
          <x:t xml:space="preserve">已证实(方向)</x:t>
        </x:is>
      </x:c>
      <x:c r="M62" t="inlineStr">
        <x:is>
          <x:t xml:space="preserve">仅学院/专业级关联；未证该方向或导师可进入；不得自动打分</x:t>
        </x:is>
      </x:c>
      <x:c r="N62" t="inlineStr">
        <x:is>
          <x:t xml:space="preserve">待人工评价</x:t>
        </x:is>
      </x:c>
    </x:row>
    <x:row r="63">
      <x:c r="A63" t="inlineStr">
        <x:is>
          <x:t xml:space="preserve">P03</x:t>
        </x:is>
      </x:c>
      <x:c r="B63" t="inlineStr">
        <x:is>
          <x:t xml:space="preserve">电子科技大学</x:t>
        </x:is>
      </x:c>
      <x:c r="C63" t="inlineStr">
        <x:is>
          <x:t xml:space="preserve">008</x:t>
        </x:is>
      </x:c>
      <x:c r="D63" t="inlineStr">
        <x:is>
          <x:t xml:space="preserve">085404</x:t>
        </x:is>
      </x:c>
      <x:c r="E63" t="inlineStr">
        <x:is>
          <x:t xml:space="preserve">具身/机器人发展空间</x:t>
        </x:is>
      </x:c>
      <x:c r="F63" t="inlineStr">
        <x:is>
          <x:t xml:space="preserve">2D资源</x:t>
        </x:is>
      </x:c>
      <x:c r="G63" t="inlineStr">
        <x:is>
          <x:t xml:space="preserve">D2-科研与工程资源</x:t>
        </x:is>
      </x:c>
      <x:c r="H63" t="inlineStr">
        <x:is>
          <x:t xml:space="preserve">校级高性能计算平台(HPC);天府绛溪实验室(四川省天府实验室,共建单位含交互人形机器人前沿研究中心);人机智能技术与系统教育部工程研究中心。</x:t>
        </x:is>
      </x:c>
      <x:c r="I63" t="inlineStr">
        <x:is>
          <x:t xml:space="preserve">U10;U11;U12;U07;U08</x:t>
        </x:is>
      </x:c>
      <x:c r="J63" t="inlineStr">
        <x:is>
          <x:t xml:space="preserve">S2</x:t>
        </x:is>
      </x:c>
      <x:c r="K63" t="inlineStr">
        <x:is>
          <x:t xml:space="preserve">P3</x:t>
        </x:is>
      </x:c>
      <x:c r="L63" t="inlineStr">
        <x:is>
          <x:t xml:space="preserve">已证实(资源存在)</x:t>
        </x:is>
      </x:c>
      <x:c r="M63" t="inlineStr">
        <x:is>
          <x:t xml:space="preserve">仅学院/专业级关联；未证该方向或导师可进入；不得自动打分</x:t>
        </x:is>
      </x:c>
      <x:c r="N63" t="inlineStr">
        <x:is>
          <x:t xml:space="preserve">待人工评价</x:t>
        </x:is>
      </x:c>
    </x:row>
    <x:row r="64">
      <x:c r="A64" t="inlineStr">
        <x:is>
          <x:t xml:space="preserve">P03</x:t>
        </x:is>
      </x:c>
      <x:c r="B64" t="inlineStr">
        <x:is>
          <x:t xml:space="preserve">电子科技大学</x:t>
        </x:is>
      </x:c>
      <x:c r="C64" t="inlineStr">
        <x:is>
          <x:t xml:space="preserve">008</x:t>
        </x:is>
      </x:c>
      <x:c r="D64" t="inlineStr">
        <x:is>
          <x:t xml:space="preserve">085404</x:t>
        </x:is>
      </x:c>
      <x:c r="E64" t="inlineStr">
        <x:is>
          <x:t xml:space="preserve">全日制统考路径明确性</x:t>
        </x:is>
      </x:c>
      <x:c r="F64" t="inlineStr">
        <x:is>
          <x:t xml:space="preserve">2D风险</x:t>
        </x:is>
      </x:c>
      <x:c r="G64" t="inlineStr">
        <x:is>
          <x:t xml:space="preserve">复试规则</x:t>
        </x:is>
      </x:c>
      <x:c r="H64" t="inlineStr">
        <x:is>
          <x:t xml:space="preserve">复试线:2024=335 → 2025=320 → 2026=355</x:t>
        </x:is>
      </x:c>
      <x:c r="I64" t="inlineStr">
        <x:is>
          <x:t xml:space="preserve">V-U02</x:t>
        </x:is>
      </x:c>
      <x:c r="J64" t="inlineStr">
        <x:is>
          <x:t xml:space="preserve">S1</x:t>
        </x:is>
      </x:c>
      <x:c r="K64" t="inlineStr">
        <x:is>
          <x:t xml:space="preserve">不适用</x:t>
        </x:is>
      </x:c>
      <x:c r="L64" t="inlineStr">
        <x:is>
          <x:t xml:space="preserve">已证实</x:t>
        </x:is>
      </x:c>
      <x:c r="M64" t="inlineStr">
        <x:is>
          <x:t xml:space="preserve">年份/方向/计划口径须再核对；仅作为评分候选</x:t>
        </x:is>
      </x:c>
      <x:c r="N64" t="inlineStr">
        <x:is>
          <x:t xml:space="preserve">待人工评价</x:t>
        </x:is>
      </x:c>
    </x:row>
    <x:row r="65">
      <x:c r="A65" t="inlineStr">
        <x:is>
          <x:t xml:space="preserve">P03</x:t>
        </x:is>
      </x:c>
      <x:c r="B65" t="inlineStr">
        <x:is>
          <x:t xml:space="preserve">电子科技大学</x:t>
        </x:is>
      </x:c>
      <x:c r="C65" t="inlineStr">
        <x:is>
          <x:t xml:space="preserve">008</x:t>
        </x:is>
      </x:c>
      <x:c r="D65" t="inlineStr">
        <x:is>
          <x:t xml:space="preserve">085404</x:t>
        </x:is>
      </x:c>
      <x:c r="E65" t="inlineStr">
        <x:is>
          <x:t xml:space="preserve">全日制统考路径明确性</x:t>
        </x:is>
      </x:c>
      <x:c r="F65" t="inlineStr">
        <x:is>
          <x:t xml:space="preserve">2D风险</x:t>
        </x:is>
      </x:c>
      <x:c r="G65" t="inlineStr">
        <x:is>
          <x:t xml:space="preserve">培养地点/联培风险</x:t>
        </x:is>
      </x:c>
      <x:c r="H65" t="inlineStr">
        <x:is>
          <x:t xml:space="preserve">008学院位于成都清水河校区;085410不在008(仅010非全)</x:t>
        </x:is>
      </x:c>
      <x:c r="I65" t="inlineStr">
        <x:is>
          <x:t xml:space="preserve">V-U01;V-U07</x:t>
        </x:is>
      </x:c>
      <x:c r="J65" t="inlineStr">
        <x:is>
          <x:t xml:space="preserve">S1</x:t>
        </x:is>
      </x:c>
      <x:c r="K65" t="inlineStr">
        <x:is>
          <x:t xml:space="preserve">不适用</x:t>
        </x:is>
      </x:c>
      <x:c r="L65" t="inlineStr">
        <x:is>
          <x:t xml:space="preserve">已证实</x:t>
        </x:is>
      </x:c>
      <x:c r="M65" t="inlineStr">
        <x:is>
          <x:t xml:space="preserve">年份/方向/计划口径须再核对；仅作为评分候选</x:t>
        </x:is>
      </x:c>
      <x:c r="N65" t="inlineStr">
        <x:is>
          <x:t xml:space="preserve">待人工评价</x:t>
        </x:is>
      </x:c>
    </x:row>
    <x:row r="66">
      <x:c r="A66" t="inlineStr">
        <x:is>
          <x:t xml:space="preserve">P03</x:t>
        </x:is>
      </x:c>
      <x:c r="B66" t="inlineStr">
        <x:is>
          <x:t xml:space="preserve">电子科技大学</x:t>
        </x:is>
      </x:c>
      <x:c r="C66" t="inlineStr">
        <x:is>
          <x:t xml:space="preserve">008</x:t>
        </x:is>
      </x:c>
      <x:c r="D66" t="inlineStr">
        <x:is>
          <x:t xml:space="preserve">085404</x:t>
        </x:is>
      </x:c>
      <x:c r="E66" t="inlineStr">
        <x:is>
          <x:t xml:space="preserve">名额口径可靠性</x:t>
        </x:is>
      </x:c>
      <x:c r="F66" t="inlineStr">
        <x:is>
          <x:t xml:space="preserve">2D风险</x:t>
        </x:is>
      </x:c>
      <x:c r="G66" t="inlineStr">
        <x:is>
          <x:t xml:space="preserve">复试规则</x:t>
        </x:is>
      </x:c>
      <x:c r="H66" t="inlineStr">
        <x:is>
          <x:t xml:space="preserve">复试线:2024=335 → 2025=320 → 2026=355</x:t>
        </x:is>
      </x:c>
      <x:c r="I66" t="inlineStr">
        <x:is>
          <x:t xml:space="preserve">V-U02</x:t>
        </x:is>
      </x:c>
      <x:c r="J66" t="inlineStr">
        <x:is>
          <x:t xml:space="preserve">S1</x:t>
        </x:is>
      </x:c>
      <x:c r="K66" t="inlineStr">
        <x:is>
          <x:t xml:space="preserve">不适用</x:t>
        </x:is>
      </x:c>
      <x:c r="L66" t="inlineStr">
        <x:is>
          <x:t xml:space="preserve">已证实</x:t>
        </x:is>
      </x:c>
      <x:c r="M66" t="inlineStr">
        <x:is>
          <x:t xml:space="preserve">年份/方向/计划口径须再核对；仅作为评分候选</x:t>
        </x:is>
      </x:c>
      <x:c r="N66" t="inlineStr">
        <x:is>
          <x:t xml:space="preserve">待人工评价</x:t>
        </x:is>
      </x:c>
    </x:row>
    <x:row r="67">
      <x:c r="A67" t="inlineStr">
        <x:is>
          <x:t xml:space="preserve">P03</x:t>
        </x:is>
      </x:c>
      <x:c r="B67" t="inlineStr">
        <x:is>
          <x:t xml:space="preserve">电子科技大学</x:t>
        </x:is>
      </x:c>
      <x:c r="C67" t="inlineStr">
        <x:is>
          <x:t xml:space="preserve">008</x:t>
        </x:is>
      </x:c>
      <x:c r="D67" t="inlineStr">
        <x:is>
          <x:t xml:space="preserve">085404</x:t>
        </x:is>
      </x:c>
      <x:c r="E67" t="inlineStr">
        <x:is>
          <x:t xml:space="preserve">名额口径可靠性</x:t>
        </x:is>
      </x:c>
      <x:c r="F67" t="inlineStr">
        <x:is>
          <x:t xml:space="preserve">2D风险</x:t>
        </x:is>
      </x:c>
      <x:c r="G67" t="inlineStr">
        <x:is>
          <x:t xml:space="preserve">培养地点/联培风险</x:t>
        </x:is>
      </x:c>
      <x:c r="H67" t="inlineStr">
        <x:is>
          <x:t xml:space="preserve">008学院位于成都清水河校区;085410不在008(仅010非全)</x:t>
        </x:is>
      </x:c>
      <x:c r="I67" t="inlineStr">
        <x:is>
          <x:t xml:space="preserve">V-U01;V-U07</x:t>
        </x:is>
      </x:c>
      <x:c r="J67" t="inlineStr">
        <x:is>
          <x:t xml:space="preserve">S1</x:t>
        </x:is>
      </x:c>
      <x:c r="K67" t="inlineStr">
        <x:is>
          <x:t xml:space="preserve">不适用</x:t>
        </x:is>
      </x:c>
      <x:c r="L67" t="inlineStr">
        <x:is>
          <x:t xml:space="preserve">已证实</x:t>
        </x:is>
      </x:c>
      <x:c r="M67" t="inlineStr">
        <x:is>
          <x:t xml:space="preserve">年份/方向/计划口径须再核对；仅作为评分候选</x:t>
        </x:is>
      </x:c>
      <x:c r="N67" t="inlineStr">
        <x:is>
          <x:t xml:space="preserve">待人工评价</x:t>
        </x:is>
      </x:c>
    </x:row>
    <x:row r="68">
      <x:c r="A68" t="inlineStr">
        <x:is>
          <x:t xml:space="preserve">P03</x:t>
        </x:is>
      </x:c>
      <x:c r="B68" t="inlineStr">
        <x:is>
          <x:t xml:space="preserve">电子科技大学</x:t>
        </x:is>
      </x:c>
      <x:c r="C68" t="inlineStr">
        <x:is>
          <x:t xml:space="preserve">008</x:t>
        </x:is>
      </x:c>
      <x:c r="D68" t="inlineStr">
        <x:is>
          <x:t xml:space="preserve">085404</x:t>
        </x:is>
      </x:c>
      <x:c r="E68" t="inlineStr">
        <x:is>
          <x:t xml:space="preserve">初复试科目稳定性</x:t>
        </x:is>
      </x:c>
      <x:c r="F68" t="inlineStr">
        <x:is>
          <x:t xml:space="preserve">2D风险</x:t>
        </x:is>
      </x:c>
      <x:c r="G68" t="inlineStr">
        <x:is>
          <x:t xml:space="preserve">复试规则</x:t>
        </x:is>
      </x:c>
      <x:c r="H68" t="inlineStr">
        <x:is>
          <x:t xml:space="preserve">复试线:2024=335 → 2025=320 → 2026=355</x:t>
        </x:is>
      </x:c>
      <x:c r="I68" t="inlineStr">
        <x:is>
          <x:t xml:space="preserve">V-U02</x:t>
        </x:is>
      </x:c>
      <x:c r="J68" t="inlineStr">
        <x:is>
          <x:t xml:space="preserve">S1</x:t>
        </x:is>
      </x:c>
      <x:c r="K68" t="inlineStr">
        <x:is>
          <x:t xml:space="preserve">不适用</x:t>
        </x:is>
      </x:c>
      <x:c r="L68" t="inlineStr">
        <x:is>
          <x:t xml:space="preserve">已证实</x:t>
        </x:is>
      </x:c>
      <x:c r="M68" t="inlineStr">
        <x:is>
          <x:t xml:space="preserve">年份/方向/计划口径须再核对；仅作为评分候选</x:t>
        </x:is>
      </x:c>
      <x:c r="N68" t="inlineStr">
        <x:is>
          <x:t xml:space="preserve">待人工评价</x:t>
        </x:is>
      </x:c>
    </x:row>
    <x:row r="69">
      <x:c r="A69" t="inlineStr">
        <x:is>
          <x:t xml:space="preserve">P03</x:t>
        </x:is>
      </x:c>
      <x:c r="B69" t="inlineStr">
        <x:is>
          <x:t xml:space="preserve">电子科技大学</x:t>
        </x:is>
      </x:c>
      <x:c r="C69" t="inlineStr">
        <x:is>
          <x:t xml:space="preserve">008</x:t>
        </x:is>
      </x:c>
      <x:c r="D69" t="inlineStr">
        <x:is>
          <x:t xml:space="preserve">085404</x:t>
        </x:is>
      </x:c>
      <x:c r="E69" t="inlineStr">
        <x:is>
          <x:t xml:space="preserve">初复试科目稳定性</x:t>
        </x:is>
      </x:c>
      <x:c r="F69" t="inlineStr">
        <x:is>
          <x:t xml:space="preserve">2D风险</x:t>
        </x:is>
      </x:c>
      <x:c r="G69" t="inlineStr">
        <x:is>
          <x:t xml:space="preserve">培养地点/联培风险</x:t>
        </x:is>
      </x:c>
      <x:c r="H69" t="inlineStr">
        <x:is>
          <x:t xml:space="preserve">008学院位于成都清水河校区;085410不在008(仅010非全)</x:t>
        </x:is>
      </x:c>
      <x:c r="I69" t="inlineStr">
        <x:is>
          <x:t xml:space="preserve">V-U01;V-U07</x:t>
        </x:is>
      </x:c>
      <x:c r="J69" t="inlineStr">
        <x:is>
          <x:t xml:space="preserve">S1</x:t>
        </x:is>
      </x:c>
      <x:c r="K69" t="inlineStr">
        <x:is>
          <x:t xml:space="preserve">不适用</x:t>
        </x:is>
      </x:c>
      <x:c r="L69" t="inlineStr">
        <x:is>
          <x:t xml:space="preserve">已证实</x:t>
        </x:is>
      </x:c>
      <x:c r="M69" t="inlineStr">
        <x:is>
          <x:t xml:space="preserve">年份/方向/计划口径须再核对；仅作为评分候选</x:t>
        </x:is>
      </x:c>
      <x:c r="N69" t="inlineStr">
        <x:is>
          <x:t xml:space="preserve">待人工评价</x:t>
        </x:is>
      </x:c>
    </x:row>
    <x:row r="70">
      <x:c r="A70" t="inlineStr">
        <x:is>
          <x:t xml:space="preserve">P03</x:t>
        </x:is>
      </x:c>
      <x:c r="B70" t="inlineStr">
        <x:is>
          <x:t xml:space="preserve">电子科技大学</x:t>
        </x:is>
      </x:c>
      <x:c r="C70" t="inlineStr">
        <x:is>
          <x:t xml:space="preserve">008</x:t>
        </x:is>
      </x:c>
      <x:c r="D70" t="inlineStr">
        <x:is>
          <x:t xml:space="preserve">085404</x:t>
        </x:is>
      </x:c>
      <x:c r="E70" t="inlineStr">
        <x:is>
          <x:t xml:space="preserve">复试规则可预期性</x:t>
        </x:is>
      </x:c>
      <x:c r="F70" t="inlineStr">
        <x:is>
          <x:t xml:space="preserve">2D风险</x:t>
        </x:is>
      </x:c>
      <x:c r="G70" t="inlineStr">
        <x:is>
          <x:t xml:space="preserve">复试规则</x:t>
        </x:is>
      </x:c>
      <x:c r="H70" t="inlineStr">
        <x:is>
          <x:t xml:space="preserve">复试线:2024=335 → 2025=320 → 2026=355</x:t>
        </x:is>
      </x:c>
      <x:c r="I70" t="inlineStr">
        <x:is>
          <x:t xml:space="preserve">V-U02</x:t>
        </x:is>
      </x:c>
      <x:c r="J70" t="inlineStr">
        <x:is>
          <x:t xml:space="preserve">S1</x:t>
        </x:is>
      </x:c>
      <x:c r="K70" t="inlineStr">
        <x:is>
          <x:t xml:space="preserve">不适用</x:t>
        </x:is>
      </x:c>
      <x:c r="L70" t="inlineStr">
        <x:is>
          <x:t xml:space="preserve">已证实</x:t>
        </x:is>
      </x:c>
      <x:c r="M70" t="inlineStr">
        <x:is>
          <x:t xml:space="preserve">年份/方向/计划口径须再核对；仅作为评分候选</x:t>
        </x:is>
      </x:c>
      <x:c r="N70" t="inlineStr">
        <x:is>
          <x:t xml:space="preserve">待人工评价</x:t>
        </x:is>
      </x:c>
    </x:row>
    <x:row r="71">
      <x:c r="A71" t="inlineStr">
        <x:is>
          <x:t xml:space="preserve">P03</x:t>
        </x:is>
      </x:c>
      <x:c r="B71" t="inlineStr">
        <x:is>
          <x:t xml:space="preserve">电子科技大学</x:t>
        </x:is>
      </x:c>
      <x:c r="C71" t="inlineStr">
        <x:is>
          <x:t xml:space="preserve">008</x:t>
        </x:is>
      </x:c>
      <x:c r="D71" t="inlineStr">
        <x:is>
          <x:t xml:space="preserve">085404</x:t>
        </x:is>
      </x:c>
      <x:c r="E71" t="inlineStr">
        <x:is>
          <x:t xml:space="preserve">复试规则可预期性</x:t>
        </x:is>
      </x:c>
      <x:c r="F71" t="inlineStr">
        <x:is>
          <x:t xml:space="preserve">2D风险</x:t>
        </x:is>
      </x:c>
      <x:c r="G71" t="inlineStr">
        <x:is>
          <x:t xml:space="preserve">培养地点/联培风险</x:t>
        </x:is>
      </x:c>
      <x:c r="H71" t="inlineStr">
        <x:is>
          <x:t xml:space="preserve">008学院位于成都清水河校区;085410不在008(仅010非全)</x:t>
        </x:is>
      </x:c>
      <x:c r="I71" t="inlineStr">
        <x:is>
          <x:t xml:space="preserve">V-U01;V-U07</x:t>
        </x:is>
      </x:c>
      <x:c r="J71" t="inlineStr">
        <x:is>
          <x:t xml:space="preserve">S1</x:t>
        </x:is>
      </x:c>
      <x:c r="K71" t="inlineStr">
        <x:is>
          <x:t xml:space="preserve">不适用</x:t>
        </x:is>
      </x:c>
      <x:c r="L71" t="inlineStr">
        <x:is>
          <x:t xml:space="preserve">已证实</x:t>
        </x:is>
      </x:c>
      <x:c r="M71" t="inlineStr">
        <x:is>
          <x:t xml:space="preserve">年份/方向/计划口径须再核对；仅作为评分候选</x:t>
        </x:is>
      </x:c>
      <x:c r="N71" t="inlineStr">
        <x:is>
          <x:t xml:space="preserve">待人工评价</x:t>
        </x:is>
      </x:c>
    </x:row>
    <x:row r="72">
      <x:c r="A72" t="inlineStr">
        <x:is>
          <x:t xml:space="preserve">P03</x:t>
        </x:is>
      </x:c>
      <x:c r="B72" t="inlineStr">
        <x:is>
          <x:t xml:space="preserve">电子科技大学</x:t>
        </x:is>
      </x:c>
      <x:c r="C72" t="inlineStr">
        <x:is>
          <x:t xml:space="preserve">008</x:t>
        </x:is>
      </x:c>
      <x:c r="D72" t="inlineStr">
        <x:is>
          <x:t xml:space="preserve">085404</x:t>
        </x:is>
      </x:c>
      <x:c r="E72" t="inlineStr">
        <x:is>
          <x:t xml:space="preserve">导师招生路径证据</x:t>
        </x:is>
      </x:c>
      <x:c r="F72" t="inlineStr">
        <x:is>
          <x:t xml:space="preserve">2D资源</x:t>
        </x:is>
      </x:c>
      <x:c r="G72" t="inlineStr">
        <x:is>
          <x:t xml:space="preserve">D3-硕士培养可进入性</x:t>
        </x:is>
      </x:c>
      <x:c r="H72" t="inlineStr">
        <x:is>
          <x:t xml:space="preserve">电子科大工程类专业学位硕士研究生专业实践(双导师制)(S2)。</x:t>
        </x:is>
      </x:c>
      <x:c r="I72" t="inlineStr">
        <x:is>
          <x:t xml:space="preserve">U04;U15;U16</x:t>
        </x:is>
      </x:c>
      <x:c r="J72" t="inlineStr">
        <x:is>
          <x:t xml:space="preserve">S2</x:t>
        </x:is>
      </x:c>
      <x:c r="K72" t="inlineStr">
        <x:is>
          <x:t xml:space="preserve">P2</x:t>
        </x:is>
      </x:c>
      <x:c r="L72" t="inlineStr">
        <x:is>
          <x:t xml:space="preserve">已证实(机制)</x:t>
        </x:is>
      </x:c>
      <x:c r="M72" t="inlineStr">
        <x:is>
          <x:t xml:space="preserve">仅学院/专业级关联；未证该方向或导师可进入；不得自动打分</x:t>
        </x:is>
      </x:c>
      <x:c r="N72" t="inlineStr">
        <x:is>
          <x:t xml:space="preserve">待人工评价</x:t>
        </x:is>
      </x:c>
    </x:row>
    <x:row r="73">
      <x:c r="A73" t="inlineStr">
        <x:is>
          <x:t xml:space="preserve">P03</x:t>
        </x:is>
      </x:c>
      <x:c r="B73" t="inlineStr">
        <x:is>
          <x:t xml:space="preserve">电子科技大学</x:t>
        </x:is>
      </x:c>
      <x:c r="C73" t="inlineStr">
        <x:is>
          <x:t xml:space="preserve">008</x:t>
        </x:is>
      </x:c>
      <x:c r="D73" t="inlineStr">
        <x:is>
          <x:t xml:space="preserve">085404</x:t>
        </x:is>
      </x:c>
      <x:c r="E73" t="inlineStr">
        <x:is>
          <x:t xml:space="preserve">导师招生路径证据</x:t>
        </x:is>
      </x:c>
      <x:c r="F73" t="inlineStr">
        <x:is>
          <x:t xml:space="preserve">2D风险</x:t>
        </x:is>
      </x:c>
      <x:c r="G73" t="inlineStr">
        <x:is>
          <x:t xml:space="preserve">复试规则</x:t>
        </x:is>
      </x:c>
      <x:c r="H73" t="inlineStr">
        <x:is>
          <x:t xml:space="preserve">复试线:2024=335 → 2025=320 → 2026=355</x:t>
        </x:is>
      </x:c>
      <x:c r="I73" t="inlineStr">
        <x:is>
          <x:t xml:space="preserve">V-U02</x:t>
        </x:is>
      </x:c>
      <x:c r="J73" t="inlineStr">
        <x:is>
          <x:t xml:space="preserve">S1</x:t>
        </x:is>
      </x:c>
      <x:c r="K73" t="inlineStr">
        <x:is>
          <x:t xml:space="preserve">不适用</x:t>
        </x:is>
      </x:c>
      <x:c r="L73" t="inlineStr">
        <x:is>
          <x:t xml:space="preserve">已证实</x:t>
        </x:is>
      </x:c>
      <x:c r="M73" t="inlineStr">
        <x:is>
          <x:t xml:space="preserve">年份/方向/计划口径须再核对；仅作为评分候选</x:t>
        </x:is>
      </x:c>
      <x:c r="N73" t="inlineStr">
        <x:is>
          <x:t xml:space="preserve">待人工评价</x:t>
        </x:is>
      </x:c>
    </x:row>
    <x:row r="74">
      <x:c r="A74" t="inlineStr">
        <x:is>
          <x:t xml:space="preserve">P03</x:t>
        </x:is>
      </x:c>
      <x:c r="B74" t="inlineStr">
        <x:is>
          <x:t xml:space="preserve">电子科技大学</x:t>
        </x:is>
      </x:c>
      <x:c r="C74" t="inlineStr">
        <x:is>
          <x:t xml:space="preserve">008</x:t>
        </x:is>
      </x:c>
      <x:c r="D74" t="inlineStr">
        <x:is>
          <x:t xml:space="preserve">085404</x:t>
        </x:is>
      </x:c>
      <x:c r="E74" t="inlineStr">
        <x:is>
          <x:t xml:space="preserve">导师招生路径证据</x:t>
        </x:is>
      </x:c>
      <x:c r="F74" t="inlineStr">
        <x:is>
          <x:t xml:space="preserve">2D风险</x:t>
        </x:is>
      </x:c>
      <x:c r="G74" t="inlineStr">
        <x:is>
          <x:t xml:space="preserve">培养地点/联培风险</x:t>
        </x:is>
      </x:c>
      <x:c r="H74" t="inlineStr">
        <x:is>
          <x:t xml:space="preserve">008学院位于成都清水河校区;085410不在008(仅010非全)</x:t>
        </x:is>
      </x:c>
      <x:c r="I74" t="inlineStr">
        <x:is>
          <x:t xml:space="preserve">V-U01;V-U07</x:t>
        </x:is>
      </x:c>
      <x:c r="J74" t="inlineStr">
        <x:is>
          <x:t xml:space="preserve">S1</x:t>
        </x:is>
      </x:c>
      <x:c r="K74" t="inlineStr">
        <x:is>
          <x:t xml:space="preserve">不适用</x:t>
        </x:is>
      </x:c>
      <x:c r="L74" t="inlineStr">
        <x:is>
          <x:t xml:space="preserve">已证实</x:t>
        </x:is>
      </x:c>
      <x:c r="M74" t="inlineStr">
        <x:is>
          <x:t xml:space="preserve">年份/方向/计划口径须再核对；仅作为评分候选</x:t>
        </x:is>
      </x:c>
      <x:c r="N74" t="inlineStr">
        <x:is>
          <x:t xml:space="preserve">待人工评价</x:t>
        </x:is>
      </x:c>
    </x:row>
    <x:row r="75">
      <x:c r="A75" t="inlineStr">
        <x:is>
          <x:t xml:space="preserve">P03</x:t>
        </x:is>
      </x:c>
      <x:c r="B75" t="inlineStr">
        <x:is>
          <x:t xml:space="preserve">电子科技大学</x:t>
        </x:is>
      </x:c>
      <x:c r="C75" t="inlineStr">
        <x:is>
          <x:t xml:space="preserve">008</x:t>
        </x:is>
      </x:c>
      <x:c r="D75" t="inlineStr">
        <x:is>
          <x:t xml:space="preserve">085404</x:t>
        </x:is>
      </x:c>
      <x:c r="E75" t="inlineStr">
        <x:is>
          <x:t xml:space="preserve">实践机制适用性</x:t>
        </x:is>
      </x:c>
      <x:c r="F75" t="inlineStr">
        <x:is>
          <x:t xml:space="preserve">2D资源</x:t>
        </x:is>
      </x:c>
      <x:c r="G75" t="inlineStr">
        <x:is>
          <x:t xml:space="preserve">D3-硕士培养可进入性</x:t>
        </x:is>
      </x:c>
      <x:c r="H75" t="inlineStr">
        <x:is>
          <x:t xml:space="preserve">电子科大工程类专业学位硕士研究生专业实践(双导师制)(S2)。</x:t>
        </x:is>
      </x:c>
      <x:c r="I75" t="inlineStr">
        <x:is>
          <x:t xml:space="preserve">U04;U15;U16</x:t>
        </x:is>
      </x:c>
      <x:c r="J75" t="inlineStr">
        <x:is>
          <x:t xml:space="preserve">S2</x:t>
        </x:is>
      </x:c>
      <x:c r="K75" t="inlineStr">
        <x:is>
          <x:t xml:space="preserve">P2</x:t>
        </x:is>
      </x:c>
      <x:c r="L75" t="inlineStr">
        <x:is>
          <x:t xml:space="preserve">已证实(机制)</x:t>
        </x:is>
      </x:c>
      <x:c r="M75" t="inlineStr">
        <x:is>
          <x:t xml:space="preserve">仅学院/专业级关联；未证该方向或导师可进入；不得自动打分</x:t>
        </x:is>
      </x:c>
      <x:c r="N75" t="inlineStr">
        <x:is>
          <x:t xml:space="preserve">待人工评价</x:t>
        </x:is>
      </x:c>
    </x:row>
    <x:row r="76">
      <x:c r="A76" t="inlineStr">
        <x:is>
          <x:t xml:space="preserve">P03</x:t>
        </x:is>
      </x:c>
      <x:c r="B76" t="inlineStr">
        <x:is>
          <x:t xml:space="preserve">电子科技大学</x:t>
        </x:is>
      </x:c>
      <x:c r="C76" t="inlineStr">
        <x:is>
          <x:t xml:space="preserve">008</x:t>
        </x:is>
      </x:c>
      <x:c r="D76" t="inlineStr">
        <x:is>
          <x:t xml:space="preserve">085404</x:t>
        </x:is>
      </x:c>
      <x:c r="E76" t="inlineStr">
        <x:is>
          <x:t xml:space="preserve">平台资源可进入性</x:t>
        </x:is>
      </x:c>
      <x:c r="F76" t="inlineStr">
        <x:is>
          <x:t xml:space="preserve">2D资源</x:t>
        </x:is>
      </x:c>
      <x:c r="G76" t="inlineStr">
        <x:is>
          <x:t xml:space="preserve">D2-科研与工程资源</x:t>
        </x:is>
      </x:c>
      <x:c r="H76" t="inlineStr">
        <x:is>
          <x:t xml:space="preserve">校级高性能计算平台(HPC);天府绛溪实验室(四川省天府实验室,共建单位含交互人形机器人前沿研究中心);人机智能技术与系统教育部工程研究中心。</x:t>
        </x:is>
      </x:c>
      <x:c r="I76" t="inlineStr">
        <x:is>
          <x:t xml:space="preserve">U10;U11;U12;U07;U08</x:t>
        </x:is>
      </x:c>
      <x:c r="J76" t="inlineStr">
        <x:is>
          <x:t xml:space="preserve">S2</x:t>
        </x:is>
      </x:c>
      <x:c r="K76" t="inlineStr">
        <x:is>
          <x:t xml:space="preserve">P3</x:t>
        </x:is>
      </x:c>
      <x:c r="L76" t="inlineStr">
        <x:is>
          <x:t xml:space="preserve">已证实(资源存在)</x:t>
        </x:is>
      </x:c>
      <x:c r="M76" t="inlineStr">
        <x:is>
          <x:t xml:space="preserve">仅学院/专业级关联；未证该方向或导师可进入；不得自动打分</x:t>
        </x:is>
      </x:c>
      <x:c r="N76" t="inlineStr">
        <x:is>
          <x:t xml:space="preserve">待人工评价</x:t>
        </x:is>
      </x:c>
    </x:row>
    <x:row r="77">
      <x:c r="A77" t="inlineStr">
        <x:is>
          <x:t xml:space="preserve">P03</x:t>
        </x:is>
      </x:c>
      <x:c r="B77" t="inlineStr">
        <x:is>
          <x:t xml:space="preserve">电子科技大学</x:t>
        </x:is>
      </x:c>
      <x:c r="C77" t="inlineStr">
        <x:is>
          <x:t xml:space="preserve">008</x:t>
        </x:is>
      </x:c>
      <x:c r="D77" t="inlineStr">
        <x:is>
          <x:t xml:space="preserve">085404</x:t>
        </x:is>
      </x:c>
      <x:c r="E77" t="inlineStr">
        <x:is>
          <x:t xml:space="preserve">城市AI岗位生态</x:t>
        </x:is>
      </x:c>
      <x:c r="F77" t="inlineStr">
        <x:is>
          <x:t xml:space="preserve">2D资源</x:t>
        </x:is>
      </x:c>
      <x:c r="G77" t="inlineStr">
        <x:is>
          <x:t xml:space="preserve">D4-就业与产业连接</x:t>
        </x:is>
      </x:c>
      <x:c r="H77" t="inlineStr">
        <x:is>
          <x:t xml:space="preserve">计算机学院官网(S2,学院级): 研究生赴国家重点单位就业率达到51.76%(2023届);本科生深造率68.13%。</x:t>
        </x:is>
      </x:c>
      <x:c r="I77" t="inlineStr">
        <x:is>
          <x:t xml:space="preserve">S-UESTC-J1</x:t>
        </x:is>
      </x:c>
      <x:c r="J77" t="inlineStr">
        <x:is>
          <x:t xml:space="preserve">S2</x:t>
        </x:is>
      </x:c>
      <x:c r="K77" t="inlineStr">
        <x:is>
          <x:t xml:space="preserve">P1</x:t>
        </x:is>
      </x:c>
      <x:c r="L77" t="inlineStr">
        <x:is>
          <x:t xml:space="preserve">已证实(学院级)</x:t>
        </x:is>
      </x:c>
      <x:c r="M77" t="inlineStr">
        <x:is>
          <x:t xml:space="preserve">仅学院/专业级关联；未证该方向或导师可进入；不得自动打分</x:t>
        </x:is>
      </x:c>
      <x:c r="N77" t="inlineStr">
        <x:is>
          <x:t xml:space="preserve">待人工评价</x:t>
        </x:is>
      </x:c>
    </x:row>
    <x:row r="78">
      <x:c r="A78" t="inlineStr">
        <x:is>
          <x:t xml:space="preserve">P03</x:t>
        </x:is>
      </x:c>
      <x:c r="B78" t="inlineStr">
        <x:is>
          <x:t xml:space="preserve">电子科技大学</x:t>
        </x:is>
      </x:c>
      <x:c r="C78" t="inlineStr">
        <x:is>
          <x:t xml:space="preserve">008</x:t>
        </x:is>
      </x:c>
      <x:c r="D78" t="inlineStr">
        <x:is>
          <x:t xml:space="preserve">085404</x:t>
        </x:is>
      </x:c>
      <x:c r="E78" t="inlineStr">
        <x:is>
          <x:t xml:space="preserve">城市AI岗位生态</x:t>
        </x:is>
      </x:c>
      <x:c r="F78" t="inlineStr">
        <x:is>
          <x:t xml:space="preserve">2D资源</x:t>
        </x:is>
      </x:c>
      <x:c r="G78" t="inlineStr">
        <x:is>
          <x:t xml:space="preserve">D4-就业与产业连接</x:t>
        </x:is>
      </x:c>
      <x:c r="H78" t="inlineStr">
        <x:is>
          <x:t xml:space="preserve">电子科大计算机学院(S2,学院级): 60%以上研究生毕业后赴国防重点单位、西部地区、基层单位就业;涌现5名'华为天才少年'。</x:t>
        </x:is>
      </x:c>
      <x:c r="I78" t="inlineStr">
        <x:is>
          <x:t xml:space="preserve">S-UESTC-J2</x:t>
        </x:is>
      </x:c>
      <x:c r="J78" t="inlineStr">
        <x:is>
          <x:t xml:space="preserve">S2</x:t>
        </x:is>
      </x:c>
      <x:c r="K78" t="inlineStr">
        <x:is>
          <x:t xml:space="preserve">P1</x:t>
        </x:is>
      </x:c>
      <x:c r="L78" t="inlineStr">
        <x:is>
          <x:t xml:space="preserve">已证实(学院级)</x:t>
        </x:is>
      </x:c>
      <x:c r="M78" t="inlineStr">
        <x:is>
          <x:t xml:space="preserve">仅学院/专业级关联；未证该方向或导师可进入；不得自动打分</x:t>
        </x:is>
      </x:c>
      <x:c r="N78" t="inlineStr">
        <x:is>
          <x:t xml:space="preserve">待人工评价</x:t>
        </x:is>
      </x:c>
    </x:row>
    <x:row r="79">
      <x:c r="A79" t="inlineStr">
        <x:is>
          <x:t xml:space="preserve">P03</x:t>
        </x:is>
      </x:c>
      <x:c r="B79" t="inlineStr">
        <x:is>
          <x:t xml:space="preserve">电子科技大学</x:t>
        </x:is>
      </x:c>
      <x:c r="C79" t="inlineStr">
        <x:is>
          <x:t xml:space="preserve">008</x:t>
        </x:is>
      </x:c>
      <x:c r="D79" t="inlineStr">
        <x:is>
          <x:t xml:space="preserve">085404</x:t>
        </x:is>
      </x:c>
      <x:c r="E79" t="inlineStr">
        <x:is>
          <x:t xml:space="preserve">实习合作半径</x:t>
        </x:is>
      </x:c>
      <x:c r="F79" t="inlineStr">
        <x:is>
          <x:t xml:space="preserve">2D资源</x:t>
        </x:is>
      </x:c>
      <x:c r="G79" t="inlineStr">
        <x:is>
          <x:t xml:space="preserve">D4-就业与产业连接</x:t>
        </x:is>
      </x:c>
      <x:c r="H79" t="inlineStr">
        <x:is>
          <x:t xml:space="preserve">计算机学院官网(S2,学院级): 研究生赴国家重点单位就业率达到51.76%(2023届);本科生深造率68.13%。</x:t>
        </x:is>
      </x:c>
      <x:c r="I79" t="inlineStr">
        <x:is>
          <x:t xml:space="preserve">S-UESTC-J1</x:t>
        </x:is>
      </x:c>
      <x:c r="J79" t="inlineStr">
        <x:is>
          <x:t xml:space="preserve">S2</x:t>
        </x:is>
      </x:c>
      <x:c r="K79" t="inlineStr">
        <x:is>
          <x:t xml:space="preserve">P1</x:t>
        </x:is>
      </x:c>
      <x:c r="L79" t="inlineStr">
        <x:is>
          <x:t xml:space="preserve">已证实(学院级)</x:t>
        </x:is>
      </x:c>
      <x:c r="M79" t="inlineStr">
        <x:is>
          <x:t xml:space="preserve">仅学院/专业级关联；未证该方向或导师可进入；不得自动打分</x:t>
        </x:is>
      </x:c>
      <x:c r="N79" t="inlineStr">
        <x:is>
          <x:t xml:space="preserve">待人工评价</x:t>
        </x:is>
      </x:c>
    </x:row>
    <x:row r="80">
      <x:c r="A80" t="inlineStr">
        <x:is>
          <x:t xml:space="preserve">P03</x:t>
        </x:is>
      </x:c>
      <x:c r="B80" t="inlineStr">
        <x:is>
          <x:t xml:space="preserve">电子科技大学</x:t>
        </x:is>
      </x:c>
      <x:c r="C80" t="inlineStr">
        <x:is>
          <x:t xml:space="preserve">008</x:t>
        </x:is>
      </x:c>
      <x:c r="D80" t="inlineStr">
        <x:is>
          <x:t xml:space="preserve">085404</x:t>
        </x:is>
      </x:c>
      <x:c r="E80" t="inlineStr">
        <x:is>
          <x:t xml:space="preserve">实习合作半径</x:t>
        </x:is>
      </x:c>
      <x:c r="F80" t="inlineStr">
        <x:is>
          <x:t xml:space="preserve">2D资源</x:t>
        </x:is>
      </x:c>
      <x:c r="G80" t="inlineStr">
        <x:is>
          <x:t xml:space="preserve">D4-就业与产业连接</x:t>
        </x:is>
      </x:c>
      <x:c r="H80" t="inlineStr">
        <x:is>
          <x:t xml:space="preserve">电子科大计算机学院(S2,学院级): 60%以上研究生毕业后赴国防重点单位、西部地区、基层单位就业;涌现5名'华为天才少年'。</x:t>
        </x:is>
      </x:c>
      <x:c r="I80" t="inlineStr">
        <x:is>
          <x:t xml:space="preserve">S-UESTC-J2</x:t>
        </x:is>
      </x:c>
      <x:c r="J80" t="inlineStr">
        <x:is>
          <x:t xml:space="preserve">S2</x:t>
        </x:is>
      </x:c>
      <x:c r="K80" t="inlineStr">
        <x:is>
          <x:t xml:space="preserve">P1</x:t>
        </x:is>
      </x:c>
      <x:c r="L80" t="inlineStr">
        <x:is>
          <x:t xml:space="preserve">已证实(学院级)</x:t>
        </x:is>
      </x:c>
      <x:c r="M80" t="inlineStr">
        <x:is>
          <x:t xml:space="preserve">仅学院/专业级关联；未证该方向或导师可进入；不得自动打分</x:t>
        </x:is>
      </x:c>
      <x:c r="N80" t="inlineStr">
        <x:is>
          <x:t xml:space="preserve">待人工评价</x:t>
        </x:is>
      </x:c>
    </x:row>
    <x:row r="81">
      <x:c r="A81" t="inlineStr">
        <x:is>
          <x:t xml:space="preserve">P03</x:t>
        </x:is>
      </x:c>
      <x:c r="B81" t="inlineStr">
        <x:is>
          <x:t xml:space="preserve">电子科技大学</x:t>
        </x:is>
      </x:c>
      <x:c r="C81" t="inlineStr">
        <x:is>
          <x:t xml:space="preserve">008</x:t>
        </x:is>
      </x:c>
      <x:c r="D81" t="inlineStr">
        <x:is>
          <x:t xml:space="preserve">085404</x:t>
        </x:is>
      </x:c>
      <x:c r="E81" t="inlineStr">
        <x:is>
          <x:t xml:space="preserve">学制与企业实践</x:t>
        </x:is>
      </x:c>
      <x:c r="F81" t="inlineStr">
        <x:is>
          <x:t xml:space="preserve">2D资源</x:t>
        </x:is>
      </x:c>
      <x:c r="G81" t="inlineStr">
        <x:is>
          <x:t xml:space="preserve">D3-硕士培养可进入性</x:t>
        </x:is>
      </x:c>
      <x:c r="H81" t="inlineStr">
        <x:is>
          <x:t xml:space="preserve">电子科大工程类专业学位硕士研究生专业实践(双导师制)(S2)。</x:t>
        </x:is>
      </x:c>
      <x:c r="I81" t="inlineStr">
        <x:is>
          <x:t xml:space="preserve">U04;U15;U16</x:t>
        </x:is>
      </x:c>
      <x:c r="J81" t="inlineStr">
        <x:is>
          <x:t xml:space="preserve">S2</x:t>
        </x:is>
      </x:c>
      <x:c r="K81" t="inlineStr">
        <x:is>
          <x:t xml:space="preserve">P2</x:t>
        </x:is>
      </x:c>
      <x:c r="L81" t="inlineStr">
        <x:is>
          <x:t xml:space="preserve">已证实(机制)</x:t>
        </x:is>
      </x:c>
      <x:c r="M81" t="inlineStr">
        <x:is>
          <x:t xml:space="preserve">仅学院/专业级关联；未证该方向或导师可进入；不得自动打分</x:t>
        </x:is>
      </x:c>
      <x:c r="N81" t="inlineStr">
        <x:is>
          <x:t xml:space="preserve">待人工评价</x:t>
        </x:is>
      </x:c>
    </x:row>
    <x:row r="82">
      <x:c r="A82" t="inlineStr">
        <x:is>
          <x:t xml:space="preserve">P04</x:t>
        </x:is>
      </x:c>
      <x:c r="B82" t="inlineStr">
        <x:is>
          <x:t xml:space="preserve">电子科技大学</x:t>
        </x:is>
      </x:c>
      <x:c r="C82" t="inlineStr">
        <x:is>
          <x:t xml:space="preserve">028</x:t>
        </x:is>
      </x:c>
      <x:c r="D82" t="inlineStr">
        <x:is>
          <x:t xml:space="preserve">085404</x:t>
        </x:is>
      </x:c>
      <x:c r="E82" t="inlineStr">
        <x:is>
          <x:t xml:space="preserve">产业合作可参与性</x:t>
        </x:is>
      </x:c>
      <x:c r="F82" t="inlineStr">
        <x:is>
          <x:t xml:space="preserve">2D资源</x:t>
        </x:is>
      </x:c>
      <x:c r="G82" t="inlineStr">
        <x:is>
          <x:t xml:space="preserve">D2-科研与工程资源</x:t>
        </x:is>
      </x:c>
      <x:c r="H82" t="inlineStr">
        <x:is>
          <x:t xml:space="preserve">长三角研究院(湖州)智算中心;深圳高研院本地平台。</x:t>
        </x:is>
      </x:c>
      <x:c r="I82" t="inlineStr">
        <x:is>
          <x:t xml:space="preserve">U13</x:t>
        </x:is>
      </x:c>
      <x:c r="J82" t="inlineStr">
        <x:is>
          <x:t xml:space="preserve">S2</x:t>
        </x:is>
      </x:c>
      <x:c r="K82" t="inlineStr">
        <x:is>
          <x:t xml:space="preserve">P3</x:t>
        </x:is>
      </x:c>
      <x:c r="L82" t="inlineStr">
        <x:is>
          <x:t xml:space="preserve">已证实(资源存在)</x:t>
        </x:is>
      </x:c>
      <x:c r="M82" t="inlineStr">
        <x:is>
          <x:t xml:space="preserve">仅学院/专业级关联；未证该方向或导师可进入；不得自动打分</x:t>
        </x:is>
      </x:c>
      <x:c r="N82" t="inlineStr">
        <x:is>
          <x:t xml:space="preserve">待人工评价</x:t>
        </x:is>
      </x:c>
    </x:row>
    <x:row r="83">
      <x:c r="A83" t="inlineStr">
        <x:is>
          <x:t xml:space="preserve">P04</x:t>
        </x:is>
      </x:c>
      <x:c r="B83" t="inlineStr">
        <x:is>
          <x:t xml:space="preserve">电子科技大学</x:t>
        </x:is>
      </x:c>
      <x:c r="C83" t="inlineStr">
        <x:is>
          <x:t xml:space="preserve">028</x:t>
        </x:is>
      </x:c>
      <x:c r="D83" t="inlineStr">
        <x:is>
          <x:t xml:space="preserve">085404</x:t>
        </x:is>
      </x:c>
      <x:c r="E83" t="inlineStr">
        <x:is>
          <x:t xml:space="preserve">Agent/LLM能力积累</x:t>
        </x:is>
      </x:c>
      <x:c r="F83" t="inlineStr">
        <x:is>
          <x:t xml:space="preserve">2D资源</x:t>
        </x:is>
      </x:c>
      <x:c r="G83" t="inlineStr">
        <x:is>
          <x:t xml:space="preserve">D2-科研与工程资源</x:t>
        </x:is>
      </x:c>
      <x:c r="H83" t="inlineStr">
        <x:is>
          <x:t xml:space="preserve">长三角研究院(湖州)智算中心;深圳高研院本地平台。</x:t>
        </x:is>
      </x:c>
      <x:c r="I83" t="inlineStr">
        <x:is>
          <x:t xml:space="preserve">U13</x:t>
        </x:is>
      </x:c>
      <x:c r="J83" t="inlineStr">
        <x:is>
          <x:t xml:space="preserve">S2</x:t>
        </x:is>
      </x:c>
      <x:c r="K83" t="inlineStr">
        <x:is>
          <x:t xml:space="preserve">P3</x:t>
        </x:is>
      </x:c>
      <x:c r="L83" t="inlineStr">
        <x:is>
          <x:t xml:space="preserve">已证实(资源存在)</x:t>
        </x:is>
      </x:c>
      <x:c r="M83" t="inlineStr">
        <x:is>
          <x:t xml:space="preserve">仅学院/专业级关联；未证该方向或导师可进入；不得自动打分</x:t>
        </x:is>
      </x:c>
      <x:c r="N83" t="inlineStr">
        <x:is>
          <x:t xml:space="preserve">待人工评价</x:t>
        </x:is>
      </x:c>
    </x:row>
    <x:row r="84">
      <x:c r="A84" t="inlineStr">
        <x:is>
          <x:t xml:space="preserve">P04</x:t>
        </x:is>
      </x:c>
      <x:c r="B84" t="inlineStr">
        <x:is>
          <x:t xml:space="preserve">电子科技大学</x:t>
        </x:is>
      </x:c>
      <x:c r="C84" t="inlineStr">
        <x:is>
          <x:t xml:space="preserve">028</x:t>
        </x:is>
      </x:c>
      <x:c r="D84" t="inlineStr">
        <x:is>
          <x:t xml:space="preserve">085404</x:t>
        </x:is>
      </x:c>
      <x:c r="E84" t="inlineStr">
        <x:is>
          <x:t xml:space="preserve">具身/机器人发展空间</x:t>
        </x:is>
      </x:c>
      <x:c r="F84" t="inlineStr">
        <x:is>
          <x:t xml:space="preserve">2D资源</x:t>
        </x:is>
      </x:c>
      <x:c r="G84" t="inlineStr">
        <x:is>
          <x:t xml:space="preserve">D2-科研与工程资源</x:t>
        </x:is>
      </x:c>
      <x:c r="H84" t="inlineStr">
        <x:is>
          <x:t xml:space="preserve">长三角研究院(湖州)智算中心;深圳高研院本地平台。</x:t>
        </x:is>
      </x:c>
      <x:c r="I84" t="inlineStr">
        <x:is>
          <x:t xml:space="preserve">U13</x:t>
        </x:is>
      </x:c>
      <x:c r="J84" t="inlineStr">
        <x:is>
          <x:t xml:space="preserve">S2</x:t>
        </x:is>
      </x:c>
      <x:c r="K84" t="inlineStr">
        <x:is>
          <x:t xml:space="preserve">P3</x:t>
        </x:is>
      </x:c>
      <x:c r="L84" t="inlineStr">
        <x:is>
          <x:t xml:space="preserve">已证实(资源存在)</x:t>
        </x:is>
      </x:c>
      <x:c r="M84" t="inlineStr">
        <x:is>
          <x:t xml:space="preserve">仅学院/专业级关联；未证该方向或导师可进入；不得自动打分</x:t>
        </x:is>
      </x:c>
      <x:c r="N84" t="inlineStr">
        <x:is>
          <x:t xml:space="preserve">待人工评价</x:t>
        </x:is>
      </x:c>
    </x:row>
    <x:row r="85">
      <x:c r="A85" t="inlineStr">
        <x:is>
          <x:t xml:space="preserve">P04</x:t>
        </x:is>
      </x:c>
      <x:c r="B85" t="inlineStr">
        <x:is>
          <x:t xml:space="preserve">电子科技大学</x:t>
        </x:is>
      </x:c>
      <x:c r="C85" t="inlineStr">
        <x:is>
          <x:t xml:space="preserve">028</x:t>
        </x:is>
      </x:c>
      <x:c r="D85" t="inlineStr">
        <x:is>
          <x:t xml:space="preserve">085404</x:t>
        </x:is>
      </x:c>
      <x:c r="E85" t="inlineStr">
        <x:is>
          <x:t xml:space="preserve">全日制统考路径明确性</x:t>
        </x:is>
      </x:c>
      <x:c r="F85" t="inlineStr">
        <x:is>
          <x:t xml:space="preserve">2D风险</x:t>
        </x:is>
      </x:c>
      <x:c r="G85" t="inlineStr">
        <x:is>
          <x:t xml:space="preserve">统考计划年度变化</x:t>
        </x:is>
      </x:c>
      <x:c r="H85" t="inlineStr">
        <x:is>
          <x:t xml:space="preserve">复试阶段'拟公开招考人数'=40;目录拟招生68(含推免约28);台账旧值'约6'判定为片段</x:t>
        </x:is>
      </x:c>
      <x:c r="I85" t="inlineStr">
        <x:is>
          <x:t xml:space="preserve">SRC-P2B-05;SRC-P2B-06;SRC-P2B-16</x:t>
        </x:is>
      </x:c>
      <x:c r="J85" t="inlineStr">
        <x:is>
          <x:t xml:space="preserve">S1</x:t>
        </x:is>
      </x:c>
      <x:c r="K85" t="inlineStr">
        <x:is>
          <x:t xml:space="preserve">不适用</x:t>
        </x:is>
      </x:c>
      <x:c r="L85" t="inlineStr">
        <x:is>
          <x:t xml:space="preserve">已证实</x:t>
        </x:is>
      </x:c>
      <x:c r="M85" t="inlineStr">
        <x:is>
          <x:t xml:space="preserve">年份/方向/计划口径须再核对；仅作为评分候选</x:t>
        </x:is>
      </x:c>
      <x:c r="N85" t="inlineStr">
        <x:is>
          <x:t xml:space="preserve">待人工评价</x:t>
        </x:is>
      </x:c>
    </x:row>
    <x:row r="86">
      <x:c r="A86" t="inlineStr">
        <x:is>
          <x:t xml:space="preserve">P04</x:t>
        </x:is>
      </x:c>
      <x:c r="B86" t="inlineStr">
        <x:is>
          <x:t xml:space="preserve">电子科技大学</x:t>
        </x:is>
      </x:c>
      <x:c r="C86" t="inlineStr">
        <x:is>
          <x:t xml:space="preserve">028</x:t>
        </x:is>
      </x:c>
      <x:c r="D86" t="inlineStr">
        <x:is>
          <x:t xml:space="preserve">085404</x:t>
        </x:is>
      </x:c>
      <x:c r="E86" t="inlineStr">
        <x:is>
          <x:t xml:space="preserve">全日制统考路径明确性</x:t>
        </x:is>
      </x:c>
      <x:c r="F86" t="inlineStr">
        <x:is>
          <x:t xml:space="preserve">2D风险</x:t>
        </x:is>
      </x:c>
      <x:c r="G86" t="inlineStr">
        <x:is>
          <x:t xml:space="preserve">推免占比变化</x:t>
        </x:is>
      </x:c>
      <x:c r="H86" t="inlineStr">
        <x:is>
          <x:t xml:space="preserve">推免拟录取约28(量级,需附件);目录68-推免≈统考40</x:t>
        </x:is>
      </x:c>
      <x:c r="I86" t="inlineStr">
        <x:is>
          <x:t xml:space="preserve">SRC-P2B-06;SRC-P2B-16</x:t>
        </x:is>
      </x:c>
      <x:c r="J86" t="inlineStr">
        <x:is>
          <x:t xml:space="preserve">S1</x:t>
        </x:is>
      </x:c>
      <x:c r="K86" t="inlineStr">
        <x:is>
          <x:t xml:space="preserve">不适用</x:t>
        </x:is>
      </x:c>
      <x:c r="L86" t="inlineStr">
        <x:is>
          <x:t xml:space="preserve">补充新事实</x:t>
        </x:is>
      </x:c>
      <x:c r="M86" t="inlineStr">
        <x:is>
          <x:t xml:space="preserve">年份/方向/计划口径须再核对；仅作为评分候选</x:t>
        </x:is>
      </x:c>
      <x:c r="N86" t="inlineStr">
        <x:is>
          <x:t xml:space="preserve">待人工评价</x:t>
        </x:is>
      </x:c>
    </x:row>
    <x:row r="87">
      <x:c r="A87" t="inlineStr">
        <x:is>
          <x:t xml:space="preserve">P04</x:t>
        </x:is>
      </x:c>
      <x:c r="B87" t="inlineStr">
        <x:is>
          <x:t xml:space="preserve">电子科技大学</x:t>
        </x:is>
      </x:c>
      <x:c r="C87" t="inlineStr">
        <x:is>
          <x:t xml:space="preserve">028</x:t>
        </x:is>
      </x:c>
      <x:c r="D87" t="inlineStr">
        <x:is>
          <x:t xml:space="preserve">085404</x:t>
        </x:is>
      </x:c>
      <x:c r="E87" t="inlineStr">
        <x:is>
          <x:t xml:space="preserve">名额口径可靠性</x:t>
        </x:is>
      </x:c>
      <x:c r="F87" t="inlineStr">
        <x:is>
          <x:t xml:space="preserve">2D风险</x:t>
        </x:is>
      </x:c>
      <x:c r="G87" t="inlineStr">
        <x:is>
          <x:t xml:space="preserve">统考计划年度变化</x:t>
        </x:is>
      </x:c>
      <x:c r="H87" t="inlineStr">
        <x:is>
          <x:t xml:space="preserve">复试阶段'拟公开招考人数'=40;目录拟招生68(含推免约28);台账旧值'约6'判定为片段</x:t>
        </x:is>
      </x:c>
      <x:c r="I87" t="inlineStr">
        <x:is>
          <x:t xml:space="preserve">SRC-P2B-05;SRC-P2B-06;SRC-P2B-16</x:t>
        </x:is>
      </x:c>
      <x:c r="J87" t="inlineStr">
        <x:is>
          <x:t xml:space="preserve">S1</x:t>
        </x:is>
      </x:c>
      <x:c r="K87" t="inlineStr">
        <x:is>
          <x:t xml:space="preserve">不适用</x:t>
        </x:is>
      </x:c>
      <x:c r="L87" t="inlineStr">
        <x:is>
          <x:t xml:space="preserve">已证实</x:t>
        </x:is>
      </x:c>
      <x:c r="M87" t="inlineStr">
        <x:is>
          <x:t xml:space="preserve">年份/方向/计划口径须再核对；仅作为评分候选</x:t>
        </x:is>
      </x:c>
      <x:c r="N87" t="inlineStr">
        <x:is>
          <x:t xml:space="preserve">待人工评价</x:t>
        </x:is>
      </x:c>
    </x:row>
    <x:row r="88">
      <x:c r="A88" t="inlineStr">
        <x:is>
          <x:t xml:space="preserve">P04</x:t>
        </x:is>
      </x:c>
      <x:c r="B88" t="inlineStr">
        <x:is>
          <x:t xml:space="preserve">电子科技大学</x:t>
        </x:is>
      </x:c>
      <x:c r="C88" t="inlineStr">
        <x:is>
          <x:t xml:space="preserve">028</x:t>
        </x:is>
      </x:c>
      <x:c r="D88" t="inlineStr">
        <x:is>
          <x:t xml:space="preserve">085404</x:t>
        </x:is>
      </x:c>
      <x:c r="E88" t="inlineStr">
        <x:is>
          <x:t xml:space="preserve">名额口径可靠性</x:t>
        </x:is>
      </x:c>
      <x:c r="F88" t="inlineStr">
        <x:is>
          <x:t xml:space="preserve">2D风险</x:t>
        </x:is>
      </x:c>
      <x:c r="G88" t="inlineStr">
        <x:is>
          <x:t xml:space="preserve">推免占比变化</x:t>
        </x:is>
      </x:c>
      <x:c r="H88" t="inlineStr">
        <x:is>
          <x:t xml:space="preserve">推免拟录取约28(量级,需附件);目录68-推免≈统考40</x:t>
        </x:is>
      </x:c>
      <x:c r="I88" t="inlineStr">
        <x:is>
          <x:t xml:space="preserve">SRC-P2B-06;SRC-P2B-16</x:t>
        </x:is>
      </x:c>
      <x:c r="J88" t="inlineStr">
        <x:is>
          <x:t xml:space="preserve">S1</x:t>
        </x:is>
      </x:c>
      <x:c r="K88" t="inlineStr">
        <x:is>
          <x:t xml:space="preserve">不适用</x:t>
        </x:is>
      </x:c>
      <x:c r="L88" t="inlineStr">
        <x:is>
          <x:t xml:space="preserve">补充新事实</x:t>
        </x:is>
      </x:c>
      <x:c r="M88" t="inlineStr">
        <x:is>
          <x:t xml:space="preserve">年份/方向/计划口径须再核对；仅作为评分候选</x:t>
        </x:is>
      </x:c>
      <x:c r="N88" t="inlineStr">
        <x:is>
          <x:t xml:space="preserve">待人工评价</x:t>
        </x:is>
      </x:c>
    </x:row>
    <x:row r="89">
      <x:c r="A89" t="inlineStr">
        <x:is>
          <x:t xml:space="preserve">P04</x:t>
        </x:is>
      </x:c>
      <x:c r="B89" t="inlineStr">
        <x:is>
          <x:t xml:space="preserve">电子科技大学</x:t>
        </x:is>
      </x:c>
      <x:c r="C89" t="inlineStr">
        <x:is>
          <x:t xml:space="preserve">028</x:t>
        </x:is>
      </x:c>
      <x:c r="D89" t="inlineStr">
        <x:is>
          <x:t xml:space="preserve">085404</x:t>
        </x:is>
      </x:c>
      <x:c r="E89" t="inlineStr">
        <x:is>
          <x:t xml:space="preserve">初复试科目稳定性</x:t>
        </x:is>
      </x:c>
      <x:c r="F89" t="inlineStr">
        <x:is>
          <x:t xml:space="preserve">2D风险</x:t>
        </x:is>
      </x:c>
      <x:c r="G89" t="inlineStr">
        <x:is>
          <x:t xml:space="preserve">统考计划年度变化</x:t>
        </x:is>
      </x:c>
      <x:c r="H89" t="inlineStr">
        <x:is>
          <x:t xml:space="preserve">复试阶段'拟公开招考人数'=40;目录拟招生68(含推免约28);台账旧值'约6'判定为片段</x:t>
        </x:is>
      </x:c>
      <x:c r="I89" t="inlineStr">
        <x:is>
          <x:t xml:space="preserve">SRC-P2B-05;SRC-P2B-06;SRC-P2B-16</x:t>
        </x:is>
      </x:c>
      <x:c r="J89" t="inlineStr">
        <x:is>
          <x:t xml:space="preserve">S1</x:t>
        </x:is>
      </x:c>
      <x:c r="K89" t="inlineStr">
        <x:is>
          <x:t xml:space="preserve">不适用</x:t>
        </x:is>
      </x:c>
      <x:c r="L89" t="inlineStr">
        <x:is>
          <x:t xml:space="preserve">已证实</x:t>
        </x:is>
      </x:c>
      <x:c r="M89" t="inlineStr">
        <x:is>
          <x:t xml:space="preserve">年份/方向/计划口径须再核对；仅作为评分候选</x:t>
        </x:is>
      </x:c>
      <x:c r="N89" t="inlineStr">
        <x:is>
          <x:t xml:space="preserve">待人工评价</x:t>
        </x:is>
      </x:c>
    </x:row>
    <x:row r="90">
      <x:c r="A90" t="inlineStr">
        <x:is>
          <x:t xml:space="preserve">P04</x:t>
        </x:is>
      </x:c>
      <x:c r="B90" t="inlineStr">
        <x:is>
          <x:t xml:space="preserve">电子科技大学</x:t>
        </x:is>
      </x:c>
      <x:c r="C90" t="inlineStr">
        <x:is>
          <x:t xml:space="preserve">028</x:t>
        </x:is>
      </x:c>
      <x:c r="D90" t="inlineStr">
        <x:is>
          <x:t xml:space="preserve">085404</x:t>
        </x:is>
      </x:c>
      <x:c r="E90" t="inlineStr">
        <x:is>
          <x:t xml:space="preserve">初复试科目稳定性</x:t>
        </x:is>
      </x:c>
      <x:c r="F90" t="inlineStr">
        <x:is>
          <x:t xml:space="preserve">2D风险</x:t>
        </x:is>
      </x:c>
      <x:c r="G90" t="inlineStr">
        <x:is>
          <x:t xml:space="preserve">推免占比变化</x:t>
        </x:is>
      </x:c>
      <x:c r="H90" t="inlineStr">
        <x:is>
          <x:t xml:space="preserve">推免拟录取约28(量级,需附件);目录68-推免≈统考40</x:t>
        </x:is>
      </x:c>
      <x:c r="I90" t="inlineStr">
        <x:is>
          <x:t xml:space="preserve">SRC-P2B-06;SRC-P2B-16</x:t>
        </x:is>
      </x:c>
      <x:c r="J90" t="inlineStr">
        <x:is>
          <x:t xml:space="preserve">S1</x:t>
        </x:is>
      </x:c>
      <x:c r="K90" t="inlineStr">
        <x:is>
          <x:t xml:space="preserve">不适用</x:t>
        </x:is>
      </x:c>
      <x:c r="L90" t="inlineStr">
        <x:is>
          <x:t xml:space="preserve">补充新事实</x:t>
        </x:is>
      </x:c>
      <x:c r="M90" t="inlineStr">
        <x:is>
          <x:t xml:space="preserve">年份/方向/计划口径须再核对；仅作为评分候选</x:t>
        </x:is>
      </x:c>
      <x:c r="N90" t="inlineStr">
        <x:is>
          <x:t xml:space="preserve">待人工评价</x:t>
        </x:is>
      </x:c>
    </x:row>
    <x:row r="91">
      <x:c r="A91" t="inlineStr">
        <x:is>
          <x:t xml:space="preserve">P04</x:t>
        </x:is>
      </x:c>
      <x:c r="B91" t="inlineStr">
        <x:is>
          <x:t xml:space="preserve">电子科技大学</x:t>
        </x:is>
      </x:c>
      <x:c r="C91" t="inlineStr">
        <x:is>
          <x:t xml:space="preserve">028</x:t>
        </x:is>
      </x:c>
      <x:c r="D91" t="inlineStr">
        <x:is>
          <x:t xml:space="preserve">085404</x:t>
        </x:is>
      </x:c>
      <x:c r="E91" t="inlineStr">
        <x:is>
          <x:t xml:space="preserve">复试规则可预期性</x:t>
        </x:is>
      </x:c>
      <x:c r="F91" t="inlineStr">
        <x:is>
          <x:t xml:space="preserve">2D风险</x:t>
        </x:is>
      </x:c>
      <x:c r="G91" t="inlineStr">
        <x:is>
          <x:t xml:space="preserve">统考计划年度变化</x:t>
        </x:is>
      </x:c>
      <x:c r="H91" t="inlineStr">
        <x:is>
          <x:t xml:space="preserve">复试阶段'拟公开招考人数'=40;目录拟招生68(含推免约28);台账旧值'约6'判定为片段</x:t>
        </x:is>
      </x:c>
      <x:c r="I91" t="inlineStr">
        <x:is>
          <x:t xml:space="preserve">SRC-P2B-05;SRC-P2B-06;SRC-P2B-16</x:t>
        </x:is>
      </x:c>
      <x:c r="J91" t="inlineStr">
        <x:is>
          <x:t xml:space="preserve">S1</x:t>
        </x:is>
      </x:c>
      <x:c r="K91" t="inlineStr">
        <x:is>
          <x:t xml:space="preserve">不适用</x:t>
        </x:is>
      </x:c>
      <x:c r="L91" t="inlineStr">
        <x:is>
          <x:t xml:space="preserve">已证实</x:t>
        </x:is>
      </x:c>
      <x:c r="M91" t="inlineStr">
        <x:is>
          <x:t xml:space="preserve">年份/方向/计划口径须再核对；仅作为评分候选</x:t>
        </x:is>
      </x:c>
      <x:c r="N91" t="inlineStr">
        <x:is>
          <x:t xml:space="preserve">待人工评价</x:t>
        </x:is>
      </x:c>
    </x:row>
    <x:row r="92">
      <x:c r="A92" t="inlineStr">
        <x:is>
          <x:t xml:space="preserve">P04</x:t>
        </x:is>
      </x:c>
      <x:c r="B92" t="inlineStr">
        <x:is>
          <x:t xml:space="preserve">电子科技大学</x:t>
        </x:is>
      </x:c>
      <x:c r="C92" t="inlineStr">
        <x:is>
          <x:t xml:space="preserve">028</x:t>
        </x:is>
      </x:c>
      <x:c r="D92" t="inlineStr">
        <x:is>
          <x:t xml:space="preserve">085404</x:t>
        </x:is>
      </x:c>
      <x:c r="E92" t="inlineStr">
        <x:is>
          <x:t xml:space="preserve">复试规则可预期性</x:t>
        </x:is>
      </x:c>
      <x:c r="F92" t="inlineStr">
        <x:is>
          <x:t xml:space="preserve">2D风险</x:t>
        </x:is>
      </x:c>
      <x:c r="G92" t="inlineStr">
        <x:is>
          <x:t xml:space="preserve">推免占比变化</x:t>
        </x:is>
      </x:c>
      <x:c r="H92" t="inlineStr">
        <x:is>
          <x:t xml:space="preserve">推免拟录取约28(量级,需附件);目录68-推免≈统考40</x:t>
        </x:is>
      </x:c>
      <x:c r="I92" t="inlineStr">
        <x:is>
          <x:t xml:space="preserve">SRC-P2B-06;SRC-P2B-16</x:t>
        </x:is>
      </x:c>
      <x:c r="J92" t="inlineStr">
        <x:is>
          <x:t xml:space="preserve">S1</x:t>
        </x:is>
      </x:c>
      <x:c r="K92" t="inlineStr">
        <x:is>
          <x:t xml:space="preserve">不适用</x:t>
        </x:is>
      </x:c>
      <x:c r="L92" t="inlineStr">
        <x:is>
          <x:t xml:space="preserve">补充新事实</x:t>
        </x:is>
      </x:c>
      <x:c r="M92" t="inlineStr">
        <x:is>
          <x:t xml:space="preserve">年份/方向/计划口径须再核对；仅作为评分候选</x:t>
        </x:is>
      </x:c>
      <x:c r="N92" t="inlineStr">
        <x:is>
          <x:t xml:space="preserve">待人工评价</x:t>
        </x:is>
      </x:c>
    </x:row>
    <x:row r="93">
      <x:c r="A93" t="inlineStr">
        <x:is>
          <x:t xml:space="preserve">P04</x:t>
        </x:is>
      </x:c>
      <x:c r="B93" t="inlineStr">
        <x:is>
          <x:t xml:space="preserve">电子科技大学</x:t>
        </x:is>
      </x:c>
      <x:c r="C93" t="inlineStr">
        <x:is>
          <x:t xml:space="preserve">028</x:t>
        </x:is>
      </x:c>
      <x:c r="D93" t="inlineStr">
        <x:is>
          <x:t xml:space="preserve">085404</x:t>
        </x:is>
      </x:c>
      <x:c r="E93" t="inlineStr">
        <x:is>
          <x:t xml:space="preserve">导师招生路径证据</x:t>
        </x:is>
      </x:c>
      <x:c r="F93" t="inlineStr">
        <x:is>
          <x:t xml:space="preserve">2D风险</x:t>
        </x:is>
      </x:c>
      <x:c r="G93" t="inlineStr">
        <x:is>
          <x:t xml:space="preserve">统考计划年度变化</x:t>
        </x:is>
      </x:c>
      <x:c r="H93" t="inlineStr">
        <x:is>
          <x:t xml:space="preserve">复试阶段'拟公开招考人数'=40;目录拟招生68(含推免约28);台账旧值'约6'判定为片段</x:t>
        </x:is>
      </x:c>
      <x:c r="I93" t="inlineStr">
        <x:is>
          <x:t xml:space="preserve">SRC-P2B-05;SRC-P2B-06;SRC-P2B-16</x:t>
        </x:is>
      </x:c>
      <x:c r="J93" t="inlineStr">
        <x:is>
          <x:t xml:space="preserve">S1</x:t>
        </x:is>
      </x:c>
      <x:c r="K93" t="inlineStr">
        <x:is>
          <x:t xml:space="preserve">不适用</x:t>
        </x:is>
      </x:c>
      <x:c r="L93" t="inlineStr">
        <x:is>
          <x:t xml:space="preserve">已证实</x:t>
        </x:is>
      </x:c>
      <x:c r="M93" t="inlineStr">
        <x:is>
          <x:t xml:space="preserve">年份/方向/计划口径须再核对；仅作为评分候选</x:t>
        </x:is>
      </x:c>
      <x:c r="N93" t="inlineStr">
        <x:is>
          <x:t xml:space="preserve">待人工评价</x:t>
        </x:is>
      </x:c>
    </x:row>
    <x:row r="94">
      <x:c r="A94" t="inlineStr">
        <x:is>
          <x:t xml:space="preserve">P04</x:t>
        </x:is>
      </x:c>
      <x:c r="B94" t="inlineStr">
        <x:is>
          <x:t xml:space="preserve">电子科技大学</x:t>
        </x:is>
      </x:c>
      <x:c r="C94" t="inlineStr">
        <x:is>
          <x:t xml:space="preserve">028</x:t>
        </x:is>
      </x:c>
      <x:c r="D94" t="inlineStr">
        <x:is>
          <x:t xml:space="preserve">085404</x:t>
        </x:is>
      </x:c>
      <x:c r="E94" t="inlineStr">
        <x:is>
          <x:t xml:space="preserve">导师招生路径证据</x:t>
        </x:is>
      </x:c>
      <x:c r="F94" t="inlineStr">
        <x:is>
          <x:t xml:space="preserve">2D风险</x:t>
        </x:is>
      </x:c>
      <x:c r="G94" t="inlineStr">
        <x:is>
          <x:t xml:space="preserve">推免占比变化</x:t>
        </x:is>
      </x:c>
      <x:c r="H94" t="inlineStr">
        <x:is>
          <x:t xml:space="preserve">推免拟录取约28(量级,需附件);目录68-推免≈统考40</x:t>
        </x:is>
      </x:c>
      <x:c r="I94" t="inlineStr">
        <x:is>
          <x:t xml:space="preserve">SRC-P2B-06;SRC-P2B-16</x:t>
        </x:is>
      </x:c>
      <x:c r="J94" t="inlineStr">
        <x:is>
          <x:t xml:space="preserve">S1</x:t>
        </x:is>
      </x:c>
      <x:c r="K94" t="inlineStr">
        <x:is>
          <x:t xml:space="preserve">不适用</x:t>
        </x:is>
      </x:c>
      <x:c r="L94" t="inlineStr">
        <x:is>
          <x:t xml:space="preserve">补充新事实</x:t>
        </x:is>
      </x:c>
      <x:c r="M94" t="inlineStr">
        <x:is>
          <x:t xml:space="preserve">年份/方向/计划口径须再核对；仅作为评分候选</x:t>
        </x:is>
      </x:c>
      <x:c r="N94" t="inlineStr">
        <x:is>
          <x:t xml:space="preserve">待人工评价</x:t>
        </x:is>
      </x:c>
    </x:row>
    <x:row r="95">
      <x:c r="A95" t="inlineStr">
        <x:is>
          <x:t xml:space="preserve">P04</x:t>
        </x:is>
      </x:c>
      <x:c r="B95" t="inlineStr">
        <x:is>
          <x:t xml:space="preserve">电子科技大学</x:t>
        </x:is>
      </x:c>
      <x:c r="C95" t="inlineStr">
        <x:is>
          <x:t xml:space="preserve">028</x:t>
        </x:is>
      </x:c>
      <x:c r="D95" t="inlineStr">
        <x:is>
          <x:t xml:space="preserve">085404</x:t>
        </x:is>
      </x:c>
      <x:c r="E95" t="inlineStr">
        <x:is>
          <x:t xml:space="preserve">平台资源可进入性</x:t>
        </x:is>
      </x:c>
      <x:c r="F95" t="inlineStr">
        <x:is>
          <x:t xml:space="preserve">2D资源</x:t>
        </x:is>
      </x:c>
      <x:c r="G95" t="inlineStr">
        <x:is>
          <x:t xml:space="preserve">D2-科研与工程资源</x:t>
        </x:is>
      </x:c>
      <x:c r="H95" t="inlineStr">
        <x:is>
          <x:t xml:space="preserve">长三角研究院(湖州)智算中心;深圳高研院本地平台。</x:t>
        </x:is>
      </x:c>
      <x:c r="I95" t="inlineStr">
        <x:is>
          <x:t xml:space="preserve">U13</x:t>
        </x:is>
      </x:c>
      <x:c r="J95" t="inlineStr">
        <x:is>
          <x:t xml:space="preserve">S2</x:t>
        </x:is>
      </x:c>
      <x:c r="K95" t="inlineStr">
        <x:is>
          <x:t xml:space="preserve">P3</x:t>
        </x:is>
      </x:c>
      <x:c r="L95" t="inlineStr">
        <x:is>
          <x:t xml:space="preserve">已证实(资源存在)</x:t>
        </x:is>
      </x:c>
      <x:c r="M95" t="inlineStr">
        <x:is>
          <x:t xml:space="preserve">仅学院/专业级关联；未证该方向或导师可进入；不得自动打分</x:t>
        </x:is>
      </x:c>
      <x:c r="N95" t="inlineStr">
        <x:is>
          <x:t xml:space="preserve">待人工评价</x:t>
        </x:is>
      </x:c>
    </x:row>
    <x:row r="96">
      <x:c r="A96" t="inlineStr">
        <x:is>
          <x:t xml:space="preserve">P05</x:t>
        </x:is>
      </x:c>
      <x:c r="B96" t="inlineStr">
        <x:is>
          <x:t xml:space="preserve">东南大学</x:t>
        </x:is>
      </x:c>
      <x:c r="C96" t="inlineStr">
        <x:is>
          <x:t xml:space="preserve">009</x:t>
        </x:is>
      </x:c>
      <x:c r="D96" t="inlineStr">
        <x:is>
          <x:t xml:space="preserve">085410</x:t>
        </x:is>
      </x:c>
      <x:c r="E96" t="inlineStr">
        <x:is>
          <x:t xml:space="preserve">岗位与实习机会</x:t>
        </x:is>
      </x:c>
      <x:c r="F96" t="inlineStr">
        <x:is>
          <x:t xml:space="preserve">2D资源</x:t>
        </x:is>
      </x:c>
      <x:c r="G96" t="inlineStr">
        <x:is>
          <x:t xml:space="preserve">D4-就业与产业连接</x:t>
        </x:is>
      </x:c>
      <x:c r="H96" t="inlineStr">
        <x:is>
          <x:t xml:space="preserve">学院2023届毕业生去向报告(S2,学院级): 硕士毕业去向落实率99.13%;硕士协议就业93.94%;近50%赴互联网头部(字节/阿里/腾讯/百度/网易/京东/米哈游);40+金融;10+国防科研。</x:t>
        </x:is>
      </x:c>
      <x:c r="I96" t="inlineStr">
        <x:is>
          <x:t xml:space="preserve">S-SEU-J1;S-SEU-J2</x:t>
        </x:is>
      </x:c>
      <x:c r="J96" t="inlineStr">
        <x:is>
          <x:t xml:space="preserve">S2</x:t>
        </x:is>
      </x:c>
      <x:c r="K96" t="inlineStr">
        <x:is>
          <x:t xml:space="preserve">P1</x:t>
        </x:is>
      </x:c>
      <x:c r="L96" t="inlineStr">
        <x:is>
          <x:t xml:space="preserve">已证实(学院级)</x:t>
        </x:is>
      </x:c>
      <x:c r="M96" t="inlineStr">
        <x:is>
          <x:t xml:space="preserve">仅学院/专业级关联；未证该方向或导师可进入；不得自动打分</x:t>
        </x:is>
      </x:c>
      <x:c r="N96" t="inlineStr">
        <x:is>
          <x:t xml:space="preserve">待人工评价</x:t>
        </x:is>
      </x:c>
    </x:row>
    <x:row r="97">
      <x:c r="A97" t="inlineStr">
        <x:is>
          <x:t xml:space="preserve">P05</x:t>
        </x:is>
      </x:c>
      <x:c r="B97" t="inlineStr">
        <x:is>
          <x:t xml:space="preserve">东南大学</x:t>
        </x:is>
      </x:c>
      <x:c r="C97" t="inlineStr">
        <x:is>
          <x:t xml:space="preserve">009</x:t>
        </x:is>
      </x:c>
      <x:c r="D97" t="inlineStr">
        <x:is>
          <x:t xml:space="preserve">085410</x:t>
        </x:is>
      </x:c>
      <x:c r="E97" t="inlineStr">
        <x:is>
          <x:t xml:space="preserve">岗位与实习机会</x:t>
        </x:is>
      </x:c>
      <x:c r="F97" t="inlineStr">
        <x:is>
          <x:t xml:space="preserve">2D资源</x:t>
        </x:is>
      </x:c>
      <x:c r="G97" t="inlineStr">
        <x:is>
          <x:t xml:space="preserve">D4-就业与产业连接</x:t>
        </x:is>
      </x:c>
      <x:c r="H97" t="inlineStr">
        <x:is>
          <x:t xml:space="preserve">倪庆剑实验室(S3): 硕士研究生毕业去向微软、阿里、腾讯、百度、蚂蚁、TP-LINK、国家电网、南京银行等。</x:t>
        </x:is>
      </x:c>
      <x:c r="I97" t="inlineStr">
        <x:is>
          <x:t xml:space="preserve">S-SEU-P5</x:t>
        </x:is>
      </x:c>
      <x:c r="J97" t="inlineStr">
        <x:is>
          <x:t xml:space="preserve">S3</x:t>
        </x:is>
      </x:c>
      <x:c r="K97" t="inlineStr">
        <x:is>
          <x:t xml:space="preserve">P2</x:t>
        </x:is>
      </x:c>
      <x:c r="L97" t="inlineStr">
        <x:is>
          <x:t xml:space="preserve">已证实(实验室级)</x:t>
        </x:is>
      </x:c>
      <x:c r="M97" t="inlineStr">
        <x:is>
          <x:t xml:space="preserve">仅学院/专业级关联；未证该方向或导师可进入；不得自动打分</x:t>
        </x:is>
      </x:c>
      <x:c r="N97" t="inlineStr">
        <x:is>
          <x:t xml:space="preserve">待人工评价</x:t>
        </x:is>
      </x:c>
    </x:row>
    <x:row r="98">
      <x:c r="A98" t="inlineStr">
        <x:is>
          <x:t xml:space="preserve">P05</x:t>
        </x:is>
      </x:c>
      <x:c r="B98" t="inlineStr">
        <x:is>
          <x:t xml:space="preserve">东南大学</x:t>
        </x:is>
      </x:c>
      <x:c r="C98" t="inlineStr">
        <x:is>
          <x:t xml:space="preserve">009</x:t>
        </x:is>
      </x:c>
      <x:c r="D98" t="inlineStr">
        <x:is>
          <x:t xml:space="preserve">085410</x:t>
        </x:is>
      </x:c>
      <x:c r="E98" t="inlineStr">
        <x:is>
          <x:t xml:space="preserve">产业合作可参与性</x:t>
        </x:is>
      </x:c>
      <x:c r="F98" t="inlineStr">
        <x:is>
          <x:t xml:space="preserve">2D资源</x:t>
        </x:is>
      </x:c>
      <x:c r="G98" t="inlineStr">
        <x:is>
          <x:t xml:space="preserve">D2-科研与工程资源</x:t>
        </x:is>
      </x:c>
      <x:c r="H98" t="inlineStr">
        <x:is>
          <x:t xml:space="preserve">云智算一体化平台(校级);AI+卓越工程师培养实训实践一体化平台;机器人传感与控制技术研究所(江苏省重点实验室);具身智能产教融合创新实践平台(智元'元苼生态发展计划');东南大学-联想研究院合作。</x:t>
        </x:is>
      </x:c>
      <x:c r="I98" t="inlineStr">
        <x:is>
          <x:t xml:space="preserve">E08;E09;E11;E12;E13</x:t>
        </x:is>
      </x:c>
      <x:c r="J98" t="inlineStr">
        <x:is>
          <x:t xml:space="preserve">S2</x:t>
        </x:is>
      </x:c>
      <x:c r="K98" t="inlineStr">
        <x:is>
          <x:t xml:space="preserve">P2/P3</x:t>
        </x:is>
      </x:c>
      <x:c r="L98" t="inlineStr">
        <x:is>
          <x:t xml:space="preserve">已证实(资源存在)</x:t>
        </x:is>
      </x:c>
      <x:c r="M98" t="inlineStr">
        <x:is>
          <x:t xml:space="preserve">仅学院/专业级关联；未证该方向或导师可进入；不得自动打分</x:t>
        </x:is>
      </x:c>
      <x:c r="N98" t="inlineStr">
        <x:is>
          <x:t xml:space="preserve">待人工评价</x:t>
        </x:is>
      </x:c>
    </x:row>
    <x:row r="99">
      <x:c r="A99" t="inlineStr">
        <x:is>
          <x:t xml:space="preserve">P05</x:t>
        </x:is>
      </x:c>
      <x:c r="B99" t="inlineStr">
        <x:is>
          <x:t xml:space="preserve">东南大学</x:t>
        </x:is>
      </x:c>
      <x:c r="C99" t="inlineStr">
        <x:is>
          <x:t xml:space="preserve">009</x:t>
        </x:is>
      </x:c>
      <x:c r="D99" t="inlineStr">
        <x:is>
          <x:t xml:space="preserve">085410</x:t>
        </x:is>
      </x:c>
      <x:c r="E99" t="inlineStr">
        <x:is>
          <x:t xml:space="preserve">产业合作可参与性</x:t>
        </x:is>
      </x:c>
      <x:c r="F99" t="inlineStr">
        <x:is>
          <x:t xml:space="preserve">2D资源</x:t>
        </x:is>
      </x:c>
      <x:c r="G99" t="inlineStr">
        <x:is>
          <x:t xml:space="preserve">D3-硕士培养可进入性</x:t>
        </x:is>
      </x:c>
      <x:c r="H99" t="inlineStr">
        <x:is>
          <x:t xml:space="preserve">《东南大学专业学位硕士研究生培养方案》(官方S1): 学制3年;实行'双导师制'(校内+校外);专业实践6学分(必修),实践单位由学院、导师、学生共同商定;未通过不得答辩。</x:t>
        </x:is>
      </x:c>
      <x:c r="I99" t="inlineStr">
        <x:is>
          <x:t xml:space="preserve">S-SEU-P1</x:t>
        </x:is>
      </x:c>
      <x:c r="J99" t="inlineStr">
        <x:is>
          <x:t xml:space="preserve">S1</x:t>
        </x:is>
      </x:c>
      <x:c r="K99" t="inlineStr">
        <x:is>
          <x:t xml:space="preserve">P1</x:t>
        </x:is>
      </x:c>
      <x:c r="L99" t="inlineStr">
        <x:is>
          <x:t xml:space="preserve">已证实</x:t>
        </x:is>
      </x:c>
      <x:c r="M99" t="inlineStr">
        <x:is>
          <x:t xml:space="preserve">仅学院/专业级关联；未证该方向或导师可进入；不得自动打分</x:t>
        </x:is>
      </x:c>
      <x:c r="N99" t="inlineStr">
        <x:is>
          <x:t xml:space="preserve">待人工评价</x:t>
        </x:is>
      </x:c>
    </x:row>
    <x:row r="100">
      <x:c r="A100" t="inlineStr">
        <x:is>
          <x:t xml:space="preserve">P05</x:t>
        </x:is>
      </x:c>
      <x:c r="B100" t="inlineStr">
        <x:is>
          <x:t xml:space="preserve">东南大学</x:t>
        </x:is>
      </x:c>
      <x:c r="C100" t="inlineStr">
        <x:is>
          <x:t xml:space="preserve">009</x:t>
        </x:is>
      </x:c>
      <x:c r="D100" t="inlineStr">
        <x:is>
          <x:t xml:space="preserve">085410</x:t>
        </x:is>
      </x:c>
      <x:c r="E100" t="inlineStr">
        <x:is>
          <x:t xml:space="preserve">Agent/LLM能力积累</x:t>
        </x:is>
      </x:c>
      <x:c r="F100" t="inlineStr">
        <x:is>
          <x:t xml:space="preserve">2D资源</x:t>
        </x:is>
      </x:c>
      <x:c r="G100" t="inlineStr">
        <x:is>
          <x:t xml:space="preserve">D1-AI科研方向匹配</x:t>
        </x:is>
      </x:c>
      <x:c r="H100" t="inlineStr">
        <x:is>
          <x:t xml:space="preserve">PALM实验室(耿新):机器学习/模式识别/CV;SAIL实验室(王帅):具身智能感知与交互;魏秀参课题组:多模态大模型/具身精细操作;吴巍炜COOLAS实验室:大模型智能体/具身智能/无人系统;耿新=新一代AI与交叉应用教育部重点实验室。</x:t>
        </x:is>
      </x:c>
      <x:c r="I100" t="inlineStr">
        <x:is>
          <x:t xml:space="preserve">S-SEU-M1;S-SEU-M3;S-SEU-P3</x:t>
        </x:is>
      </x:c>
      <x:c r="J100" t="inlineStr">
        <x:is>
          <x:t xml:space="preserve">S2</x:t>
        </x:is>
      </x:c>
      <x:c r="K100" t="inlineStr">
        <x:is>
          <x:t xml:space="preserve">P2</x:t>
        </x:is>
      </x:c>
      <x:c r="L100" t="inlineStr">
        <x:is>
          <x:t xml:space="preserve">已证实(方向)</x:t>
        </x:is>
      </x:c>
      <x:c r="M100" t="inlineStr">
        <x:is>
          <x:t xml:space="preserve">仅学院/专业级关联；未证该方向或导师可进入；不得自动打分</x:t>
        </x:is>
      </x:c>
      <x:c r="N100" t="inlineStr">
        <x:is>
          <x:t xml:space="preserve">待人工评价</x:t>
        </x:is>
      </x:c>
    </x:row>
    <x:row r="101">
      <x:c r="A101" t="inlineStr">
        <x:is>
          <x:t xml:space="preserve">P05</x:t>
        </x:is>
      </x:c>
      <x:c r="B101" t="inlineStr">
        <x:is>
          <x:t xml:space="preserve">东南大学</x:t>
        </x:is>
      </x:c>
      <x:c r="C101" t="inlineStr">
        <x:is>
          <x:t xml:space="preserve">009</x:t>
        </x:is>
      </x:c>
      <x:c r="D101" t="inlineStr">
        <x:is>
          <x:t xml:space="preserve">085410</x:t>
        </x:is>
      </x:c>
      <x:c r="E101" t="inlineStr">
        <x:is>
          <x:t xml:space="preserve">Agent/LLM能力积累</x:t>
        </x:is>
      </x:c>
      <x:c r="F101" t="inlineStr">
        <x:is>
          <x:t xml:space="preserve">2D资源</x:t>
        </x:is>
      </x:c>
      <x:c r="G101" t="inlineStr">
        <x:is>
          <x:t xml:space="preserve">D2-科研与工程资源</x:t>
        </x:is>
      </x:c>
      <x:c r="H101" t="inlineStr">
        <x:is>
          <x:t xml:space="preserve">云智算一体化平台(校级);AI+卓越工程师培养实训实践一体化平台;机器人传感与控制技术研究所(江苏省重点实验室);具身智能产教融合创新实践平台(智元'元苼生态发展计划');东南大学-联想研究院合作。</x:t>
        </x:is>
      </x:c>
      <x:c r="I101" t="inlineStr">
        <x:is>
          <x:t xml:space="preserve">E08;E09;E11;E12;E13</x:t>
        </x:is>
      </x:c>
      <x:c r="J101" t="inlineStr">
        <x:is>
          <x:t xml:space="preserve">S2</x:t>
        </x:is>
      </x:c>
      <x:c r="K101" t="inlineStr">
        <x:is>
          <x:t xml:space="preserve">P2/P3</x:t>
        </x:is>
      </x:c>
      <x:c r="L101" t="inlineStr">
        <x:is>
          <x:t xml:space="preserve">已证实(资源存在)</x:t>
        </x:is>
      </x:c>
      <x:c r="M101" t="inlineStr">
        <x:is>
          <x:t xml:space="preserve">仅学院/专业级关联；未证该方向或导师可进入；不得自动打分</x:t>
        </x:is>
      </x:c>
      <x:c r="N101" t="inlineStr">
        <x:is>
          <x:t xml:space="preserve">待人工评价</x:t>
        </x:is>
      </x:c>
    </x:row>
    <x:row r="102">
      <x:c r="A102" t="inlineStr">
        <x:is>
          <x:t xml:space="preserve">P05</x:t>
        </x:is>
      </x:c>
      <x:c r="B102" t="inlineStr">
        <x:is>
          <x:t xml:space="preserve">东南大学</x:t>
        </x:is>
      </x:c>
      <x:c r="C102" t="inlineStr">
        <x:is>
          <x:t xml:space="preserve">009</x:t>
        </x:is>
      </x:c>
      <x:c r="D102" t="inlineStr">
        <x:is>
          <x:t xml:space="preserve">085410</x:t>
        </x:is>
      </x:c>
      <x:c r="E102" t="inlineStr">
        <x:is>
          <x:t xml:space="preserve">具身/机器人发展空间</x:t>
        </x:is>
      </x:c>
      <x:c r="F102" t="inlineStr">
        <x:is>
          <x:t xml:space="preserve">2D资源</x:t>
        </x:is>
      </x:c>
      <x:c r="G102" t="inlineStr">
        <x:is>
          <x:t xml:space="preserve">D1-AI科研方向匹配</x:t>
        </x:is>
      </x:c>
      <x:c r="H102" t="inlineStr">
        <x:is>
          <x:t xml:space="preserve">PALM实验室(耿新):机器学习/模式识别/CV;SAIL实验室(王帅):具身智能感知与交互;魏秀参课题组:多模态大模型/具身精细操作;吴巍炜COOLAS实验室:大模型智能体/具身智能/无人系统;耿新=新一代AI与交叉应用教育部重点实验室。</x:t>
        </x:is>
      </x:c>
      <x:c r="I102" t="inlineStr">
        <x:is>
          <x:t xml:space="preserve">S-SEU-M1;S-SEU-M3;S-SEU-P3</x:t>
        </x:is>
      </x:c>
      <x:c r="J102" t="inlineStr">
        <x:is>
          <x:t xml:space="preserve">S2</x:t>
        </x:is>
      </x:c>
      <x:c r="K102" t="inlineStr">
        <x:is>
          <x:t xml:space="preserve">P2</x:t>
        </x:is>
      </x:c>
      <x:c r="L102" t="inlineStr">
        <x:is>
          <x:t xml:space="preserve">已证实(方向)</x:t>
        </x:is>
      </x:c>
      <x:c r="M102" t="inlineStr">
        <x:is>
          <x:t xml:space="preserve">仅学院/专业级关联；未证该方向或导师可进入；不得自动打分</x:t>
        </x:is>
      </x:c>
      <x:c r="N102" t="inlineStr">
        <x:is>
          <x:t xml:space="preserve">待人工评价</x:t>
        </x:is>
      </x:c>
    </x:row>
    <x:row r="103">
      <x:c r="A103" t="inlineStr">
        <x:is>
          <x:t xml:space="preserve">P05</x:t>
        </x:is>
      </x:c>
      <x:c r="B103" t="inlineStr">
        <x:is>
          <x:t xml:space="preserve">东南大学</x:t>
        </x:is>
      </x:c>
      <x:c r="C103" t="inlineStr">
        <x:is>
          <x:t xml:space="preserve">009</x:t>
        </x:is>
      </x:c>
      <x:c r="D103" t="inlineStr">
        <x:is>
          <x:t xml:space="preserve">085410</x:t>
        </x:is>
      </x:c>
      <x:c r="E103" t="inlineStr">
        <x:is>
          <x:t xml:space="preserve">具身/机器人发展空间</x:t>
        </x:is>
      </x:c>
      <x:c r="F103" t="inlineStr">
        <x:is>
          <x:t xml:space="preserve">2D资源</x:t>
        </x:is>
      </x:c>
      <x:c r="G103" t="inlineStr">
        <x:is>
          <x:t xml:space="preserve">D2-科研与工程资源</x:t>
        </x:is>
      </x:c>
      <x:c r="H103" t="inlineStr">
        <x:is>
          <x:t xml:space="preserve">云智算一体化平台(校级);AI+卓越工程师培养实训实践一体化平台;机器人传感与控制技术研究所(江苏省重点实验室);具身智能产教融合创新实践平台(智元'元苼生态发展计划');东南大学-联想研究院合作。</x:t>
        </x:is>
      </x:c>
      <x:c r="I103" t="inlineStr">
        <x:is>
          <x:t xml:space="preserve">E08;E09;E11;E12;E13</x:t>
        </x:is>
      </x:c>
      <x:c r="J103" t="inlineStr">
        <x:is>
          <x:t xml:space="preserve">S2</x:t>
        </x:is>
      </x:c>
      <x:c r="K103" t="inlineStr">
        <x:is>
          <x:t xml:space="preserve">P2/P3</x:t>
        </x:is>
      </x:c>
      <x:c r="L103" t="inlineStr">
        <x:is>
          <x:t xml:space="preserve">已证实(资源存在)</x:t>
        </x:is>
      </x:c>
      <x:c r="M103" t="inlineStr">
        <x:is>
          <x:t xml:space="preserve">仅学院/专业级关联；未证该方向或导师可进入；不得自动打分</x:t>
        </x:is>
      </x:c>
      <x:c r="N103" t="inlineStr">
        <x:is>
          <x:t xml:space="preserve">待人工评价</x:t>
        </x:is>
      </x:c>
    </x:row>
    <x:row r="104">
      <x:c r="A104" t="inlineStr">
        <x:is>
          <x:t xml:space="preserve">P05</x:t>
        </x:is>
      </x:c>
      <x:c r="B104" t="inlineStr">
        <x:is>
          <x:t xml:space="preserve">东南大学</x:t>
        </x:is>
      </x:c>
      <x:c r="C104" t="inlineStr">
        <x:is>
          <x:t xml:space="preserve">009</x:t>
        </x:is>
      </x:c>
      <x:c r="D104" t="inlineStr">
        <x:is>
          <x:t xml:space="preserve">085410</x:t>
        </x:is>
      </x:c>
      <x:c r="E104" t="inlineStr">
        <x:is>
          <x:t xml:space="preserve">全日制统考路径明确性</x:t>
        </x:is>
      </x:c>
      <x:c r="F104" t="inlineStr">
        <x:is>
          <x:t xml:space="preserve">2D风险</x:t>
        </x:is>
      </x:c>
      <x:c r="G104" t="inlineStr">
        <x:is>
          <x:t xml:space="preserve">初试科目变化</x:t>
        </x:is>
      </x:c>
      <x:c r="H104" t="inlineStr">
        <x:is>
          <x:t xml:space="preserve">第四单元:2024自命题935计算机专业基础→2025-2027统考408</x:t>
        </x:is>
      </x:c>
      <x:c r="I104" t="inlineStr">
        <x:is>
          <x:t xml:space="preserve">SRC-P2B-10;SRC-P2B-11</x:t>
        </x:is>
      </x:c>
      <x:c r="J104" t="inlineStr">
        <x:is>
          <x:t xml:space="preserve">S1</x:t>
        </x:is>
      </x:c>
      <x:c r="K104" t="inlineStr">
        <x:is>
          <x:t xml:space="preserve">不适用</x:t>
        </x:is>
      </x:c>
      <x:c r="L104" t="inlineStr">
        <x:is>
          <x:t xml:space="preserve">已证实</x:t>
        </x:is>
      </x:c>
      <x:c r="M104" t="inlineStr">
        <x:is>
          <x:t xml:space="preserve">年份/方向/计划口径须再核对；仅作为评分候选</x:t>
        </x:is>
      </x:c>
      <x:c r="N104" t="inlineStr">
        <x:is>
          <x:t xml:space="preserve">待人工评价</x:t>
        </x:is>
      </x:c>
    </x:row>
    <x:row r="105">
      <x:c r="A105" t="inlineStr">
        <x:is>
          <x:t xml:space="preserve">P05</x:t>
        </x:is>
      </x:c>
      <x:c r="B105" t="inlineStr">
        <x:is>
          <x:t xml:space="preserve">东南大学</x:t>
        </x:is>
      </x:c>
      <x:c r="C105" t="inlineStr">
        <x:is>
          <x:t xml:space="preserve">009</x:t>
        </x:is>
      </x:c>
      <x:c r="D105" t="inlineStr">
        <x:is>
          <x:t xml:space="preserve">085410</x:t>
        </x:is>
      </x:c>
      <x:c r="E105" t="inlineStr">
        <x:is>
          <x:t xml:space="preserve">全日制统考路径明确性</x:t>
        </x:is>
      </x:c>
      <x:c r="F105" t="inlineStr">
        <x:is>
          <x:t xml:space="preserve">2D风险</x:t>
        </x:is>
      </x:c>
      <x:c r="G105" t="inlineStr">
        <x:is>
          <x:t xml:space="preserve">统考计划年度变化</x:t>
        </x:is>
      </x:c>
      <x:c r="H105" t="inlineStr">
        <x:is>
          <x:t xml:space="preserve">目录'拟考试招生人数'(不含推免): 2024=0(未公布) → 2025=33 → 2026=32 → 2027=28</x:t>
        </x:is>
      </x:c>
      <x:c r="I105" t="inlineStr">
        <x:is>
          <x:t xml:space="preserve">SRC-P2B-08;SRC-P2B-10;SRC-P2B-11;SRC-P2B-12</x:t>
        </x:is>
      </x:c>
      <x:c r="J105" t="inlineStr">
        <x:is>
          <x:t xml:space="preserve">S1</x:t>
        </x:is>
      </x:c>
      <x:c r="K105" t="inlineStr">
        <x:is>
          <x:t xml:space="preserve">不适用</x:t>
        </x:is>
      </x:c>
      <x:c r="L105" t="inlineStr">
        <x:is>
          <x:t xml:space="preserve">已证实</x:t>
        </x:is>
      </x:c>
      <x:c r="M105" t="inlineStr">
        <x:is>
          <x:t xml:space="preserve">年份/方向/计划口径须再核对；仅作为评分候选</x:t>
        </x:is>
      </x:c>
      <x:c r="N105" t="inlineStr">
        <x:is>
          <x:t xml:space="preserve">待人工评价</x:t>
        </x:is>
      </x:c>
    </x:row>
    <x:row r="106">
      <x:c r="A106" t="inlineStr">
        <x:is>
          <x:t xml:space="preserve">P05</x:t>
        </x:is>
      </x:c>
      <x:c r="B106" t="inlineStr">
        <x:is>
          <x:t xml:space="preserve">东南大学</x:t>
        </x:is>
      </x:c>
      <x:c r="C106" t="inlineStr">
        <x:is>
          <x:t xml:space="preserve">009</x:t>
        </x:is>
      </x:c>
      <x:c r="D106" t="inlineStr">
        <x:is>
          <x:t xml:space="preserve">085410</x:t>
        </x:is>
      </x:c>
      <x:c r="E106" t="inlineStr">
        <x:is>
          <x:t xml:space="preserve">名额口径可靠性</x:t>
        </x:is>
      </x:c>
      <x:c r="F106" t="inlineStr">
        <x:is>
          <x:t xml:space="preserve">2D风险</x:t>
        </x:is>
      </x:c>
      <x:c r="G106" t="inlineStr">
        <x:is>
          <x:t xml:space="preserve">初试科目变化</x:t>
        </x:is>
      </x:c>
      <x:c r="H106" t="inlineStr">
        <x:is>
          <x:t xml:space="preserve">第四单元:2024自命题935计算机专业基础→2025-2027统考408</x:t>
        </x:is>
      </x:c>
      <x:c r="I106" t="inlineStr">
        <x:is>
          <x:t xml:space="preserve">SRC-P2B-10;SRC-P2B-11</x:t>
        </x:is>
      </x:c>
      <x:c r="J106" t="inlineStr">
        <x:is>
          <x:t xml:space="preserve">S1</x:t>
        </x:is>
      </x:c>
      <x:c r="K106" t="inlineStr">
        <x:is>
          <x:t xml:space="preserve">不适用</x:t>
        </x:is>
      </x:c>
      <x:c r="L106" t="inlineStr">
        <x:is>
          <x:t xml:space="preserve">已证实</x:t>
        </x:is>
      </x:c>
      <x:c r="M106" t="inlineStr">
        <x:is>
          <x:t xml:space="preserve">年份/方向/计划口径须再核对；仅作为评分候选</x:t>
        </x:is>
      </x:c>
      <x:c r="N106" t="inlineStr">
        <x:is>
          <x:t xml:space="preserve">待人工评价</x:t>
        </x:is>
      </x:c>
    </x:row>
    <x:row r="107">
      <x:c r="A107" t="inlineStr">
        <x:is>
          <x:t xml:space="preserve">P05</x:t>
        </x:is>
      </x:c>
      <x:c r="B107" t="inlineStr">
        <x:is>
          <x:t xml:space="preserve">东南大学</x:t>
        </x:is>
      </x:c>
      <x:c r="C107" t="inlineStr">
        <x:is>
          <x:t xml:space="preserve">009</x:t>
        </x:is>
      </x:c>
      <x:c r="D107" t="inlineStr">
        <x:is>
          <x:t xml:space="preserve">085410</x:t>
        </x:is>
      </x:c>
      <x:c r="E107" t="inlineStr">
        <x:is>
          <x:t xml:space="preserve">名额口径可靠性</x:t>
        </x:is>
      </x:c>
      <x:c r="F107" t="inlineStr">
        <x:is>
          <x:t xml:space="preserve">2D风险</x:t>
        </x:is>
      </x:c>
      <x:c r="G107" t="inlineStr">
        <x:is>
          <x:t xml:space="preserve">统考计划年度变化</x:t>
        </x:is>
      </x:c>
      <x:c r="H107" t="inlineStr">
        <x:is>
          <x:t xml:space="preserve">目录'拟考试招生人数'(不含推免): 2024=0(未公布) → 2025=33 → 2026=32 → 2027=28</x:t>
        </x:is>
      </x:c>
      <x:c r="I107" t="inlineStr">
        <x:is>
          <x:t xml:space="preserve">SRC-P2B-08;SRC-P2B-10;SRC-P2B-11;SRC-P2B-12</x:t>
        </x:is>
      </x:c>
      <x:c r="J107" t="inlineStr">
        <x:is>
          <x:t xml:space="preserve">S1</x:t>
        </x:is>
      </x:c>
      <x:c r="K107" t="inlineStr">
        <x:is>
          <x:t xml:space="preserve">不适用</x:t>
        </x:is>
      </x:c>
      <x:c r="L107" t="inlineStr">
        <x:is>
          <x:t xml:space="preserve">已证实</x:t>
        </x:is>
      </x:c>
      <x:c r="M107" t="inlineStr">
        <x:is>
          <x:t xml:space="preserve">年份/方向/计划口径须再核对；仅作为评分候选</x:t>
        </x:is>
      </x:c>
      <x:c r="N107" t="inlineStr">
        <x:is>
          <x:t xml:space="preserve">待人工评价</x:t>
        </x:is>
      </x:c>
    </x:row>
    <x:row r="108">
      <x:c r="A108" t="inlineStr">
        <x:is>
          <x:t xml:space="preserve">P05</x:t>
        </x:is>
      </x:c>
      <x:c r="B108" t="inlineStr">
        <x:is>
          <x:t xml:space="preserve">东南大学</x:t>
        </x:is>
      </x:c>
      <x:c r="C108" t="inlineStr">
        <x:is>
          <x:t xml:space="preserve">009</x:t>
        </x:is>
      </x:c>
      <x:c r="D108" t="inlineStr">
        <x:is>
          <x:t xml:space="preserve">085410</x:t>
        </x:is>
      </x:c>
      <x:c r="E108" t="inlineStr">
        <x:is>
          <x:t xml:space="preserve">初复试科目稳定性</x:t>
        </x:is>
      </x:c>
      <x:c r="F108" t="inlineStr">
        <x:is>
          <x:t xml:space="preserve">2D风险</x:t>
        </x:is>
      </x:c>
      <x:c r="G108" t="inlineStr">
        <x:is>
          <x:t xml:space="preserve">初试科目变化</x:t>
        </x:is>
      </x:c>
      <x:c r="H108" t="inlineStr">
        <x:is>
          <x:t xml:space="preserve">第四单元:2024自命题935计算机专业基础→2025-2027统考408</x:t>
        </x:is>
      </x:c>
      <x:c r="I108" t="inlineStr">
        <x:is>
          <x:t xml:space="preserve">SRC-P2B-10;SRC-P2B-11</x:t>
        </x:is>
      </x:c>
      <x:c r="J108" t="inlineStr">
        <x:is>
          <x:t xml:space="preserve">S1</x:t>
        </x:is>
      </x:c>
      <x:c r="K108" t="inlineStr">
        <x:is>
          <x:t xml:space="preserve">不适用</x:t>
        </x:is>
      </x:c>
      <x:c r="L108" t="inlineStr">
        <x:is>
          <x:t xml:space="preserve">已证实</x:t>
        </x:is>
      </x:c>
      <x:c r="M108" t="inlineStr">
        <x:is>
          <x:t xml:space="preserve">年份/方向/计划口径须再核对；仅作为评分候选</x:t>
        </x:is>
      </x:c>
      <x:c r="N108" t="inlineStr">
        <x:is>
          <x:t xml:space="preserve">待人工评价</x:t>
        </x:is>
      </x:c>
    </x:row>
    <x:row r="109">
      <x:c r="A109" t="inlineStr">
        <x:is>
          <x:t xml:space="preserve">P05</x:t>
        </x:is>
      </x:c>
      <x:c r="B109" t="inlineStr">
        <x:is>
          <x:t xml:space="preserve">东南大学</x:t>
        </x:is>
      </x:c>
      <x:c r="C109" t="inlineStr">
        <x:is>
          <x:t xml:space="preserve">009</x:t>
        </x:is>
      </x:c>
      <x:c r="D109" t="inlineStr">
        <x:is>
          <x:t xml:space="preserve">085410</x:t>
        </x:is>
      </x:c>
      <x:c r="E109" t="inlineStr">
        <x:is>
          <x:t xml:space="preserve">初复试科目稳定性</x:t>
        </x:is>
      </x:c>
      <x:c r="F109" t="inlineStr">
        <x:is>
          <x:t xml:space="preserve">2D风险</x:t>
        </x:is>
      </x:c>
      <x:c r="G109" t="inlineStr">
        <x:is>
          <x:t xml:space="preserve">统考计划年度变化</x:t>
        </x:is>
      </x:c>
      <x:c r="H109" t="inlineStr">
        <x:is>
          <x:t xml:space="preserve">目录'拟考试招生人数'(不含推免): 2024=0(未公布) → 2025=33 → 2026=32 → 2027=28</x:t>
        </x:is>
      </x:c>
      <x:c r="I109" t="inlineStr">
        <x:is>
          <x:t xml:space="preserve">SRC-P2B-08;SRC-P2B-10;SRC-P2B-11;SRC-P2B-12</x:t>
        </x:is>
      </x:c>
      <x:c r="J109" t="inlineStr">
        <x:is>
          <x:t xml:space="preserve">S1</x:t>
        </x:is>
      </x:c>
      <x:c r="K109" t="inlineStr">
        <x:is>
          <x:t xml:space="preserve">不适用</x:t>
        </x:is>
      </x:c>
      <x:c r="L109" t="inlineStr">
        <x:is>
          <x:t xml:space="preserve">已证实</x:t>
        </x:is>
      </x:c>
      <x:c r="M109" t="inlineStr">
        <x:is>
          <x:t xml:space="preserve">年份/方向/计划口径须再核对；仅作为评分候选</x:t>
        </x:is>
      </x:c>
      <x:c r="N109" t="inlineStr">
        <x:is>
          <x:t xml:space="preserve">待人工评价</x:t>
        </x:is>
      </x:c>
    </x:row>
    <x:row r="110">
      <x:c r="A110" t="inlineStr">
        <x:is>
          <x:t xml:space="preserve">P05</x:t>
        </x:is>
      </x:c>
      <x:c r="B110" t="inlineStr">
        <x:is>
          <x:t xml:space="preserve">东南大学</x:t>
        </x:is>
      </x:c>
      <x:c r="C110" t="inlineStr">
        <x:is>
          <x:t xml:space="preserve">009</x:t>
        </x:is>
      </x:c>
      <x:c r="D110" t="inlineStr">
        <x:is>
          <x:t xml:space="preserve">085410</x:t>
        </x:is>
      </x:c>
      <x:c r="E110" t="inlineStr">
        <x:is>
          <x:t xml:space="preserve">复试规则可预期性</x:t>
        </x:is>
      </x:c>
      <x:c r="F110" t="inlineStr">
        <x:is>
          <x:t xml:space="preserve">2D风险</x:t>
        </x:is>
      </x:c>
      <x:c r="G110" t="inlineStr">
        <x:is>
          <x:t xml:space="preserve">初试科目变化</x:t>
        </x:is>
      </x:c>
      <x:c r="H110" t="inlineStr">
        <x:is>
          <x:t xml:space="preserve">第四单元:2024自命题935计算机专业基础→2025-2027统考408</x:t>
        </x:is>
      </x:c>
      <x:c r="I110" t="inlineStr">
        <x:is>
          <x:t xml:space="preserve">SRC-P2B-10;SRC-P2B-11</x:t>
        </x:is>
      </x:c>
      <x:c r="J110" t="inlineStr">
        <x:is>
          <x:t xml:space="preserve">S1</x:t>
        </x:is>
      </x:c>
      <x:c r="K110" t="inlineStr">
        <x:is>
          <x:t xml:space="preserve">不适用</x:t>
        </x:is>
      </x:c>
      <x:c r="L110" t="inlineStr">
        <x:is>
          <x:t xml:space="preserve">已证实</x:t>
        </x:is>
      </x:c>
      <x:c r="M110" t="inlineStr">
        <x:is>
          <x:t xml:space="preserve">年份/方向/计划口径须再核对；仅作为评分候选</x:t>
        </x:is>
      </x:c>
      <x:c r="N110" t="inlineStr">
        <x:is>
          <x:t xml:space="preserve">待人工评价</x:t>
        </x:is>
      </x:c>
    </x:row>
    <x:row r="111">
      <x:c r="A111" t="inlineStr">
        <x:is>
          <x:t xml:space="preserve">P05</x:t>
        </x:is>
      </x:c>
      <x:c r="B111" t="inlineStr">
        <x:is>
          <x:t xml:space="preserve">东南大学</x:t>
        </x:is>
      </x:c>
      <x:c r="C111" t="inlineStr">
        <x:is>
          <x:t xml:space="preserve">009</x:t>
        </x:is>
      </x:c>
      <x:c r="D111" t="inlineStr">
        <x:is>
          <x:t xml:space="preserve">085410</x:t>
        </x:is>
      </x:c>
      <x:c r="E111" t="inlineStr">
        <x:is>
          <x:t xml:space="preserve">复试规则可预期性</x:t>
        </x:is>
      </x:c>
      <x:c r="F111" t="inlineStr">
        <x:is>
          <x:t xml:space="preserve">2D风险</x:t>
        </x:is>
      </x:c>
      <x:c r="G111" t="inlineStr">
        <x:is>
          <x:t xml:space="preserve">统考计划年度变化</x:t>
        </x:is>
      </x:c>
      <x:c r="H111" t="inlineStr">
        <x:is>
          <x:t xml:space="preserve">目录'拟考试招生人数'(不含推免): 2024=0(未公布) → 2025=33 → 2026=32 → 2027=28</x:t>
        </x:is>
      </x:c>
      <x:c r="I111" t="inlineStr">
        <x:is>
          <x:t xml:space="preserve">SRC-P2B-08;SRC-P2B-10;SRC-P2B-11;SRC-P2B-12</x:t>
        </x:is>
      </x:c>
      <x:c r="J111" t="inlineStr">
        <x:is>
          <x:t xml:space="preserve">S1</x:t>
        </x:is>
      </x:c>
      <x:c r="K111" t="inlineStr">
        <x:is>
          <x:t xml:space="preserve">不适用</x:t>
        </x:is>
      </x:c>
      <x:c r="L111" t="inlineStr">
        <x:is>
          <x:t xml:space="preserve">已证实</x:t>
        </x:is>
      </x:c>
      <x:c r="M111" t="inlineStr">
        <x:is>
          <x:t xml:space="preserve">年份/方向/计划口径须再核对；仅作为评分候选</x:t>
        </x:is>
      </x:c>
      <x:c r="N111" t="inlineStr">
        <x:is>
          <x:t xml:space="preserve">待人工评价</x:t>
        </x:is>
      </x:c>
    </x:row>
    <x:row r="112">
      <x:c r="A112" t="inlineStr">
        <x:is>
          <x:t xml:space="preserve">P05</x:t>
        </x:is>
      </x:c>
      <x:c r="B112" t="inlineStr">
        <x:is>
          <x:t xml:space="preserve">东南大学</x:t>
        </x:is>
      </x:c>
      <x:c r="C112" t="inlineStr">
        <x:is>
          <x:t xml:space="preserve">009</x:t>
        </x:is>
      </x:c>
      <x:c r="D112" t="inlineStr">
        <x:is>
          <x:t xml:space="preserve">085410</x:t>
        </x:is>
      </x:c>
      <x:c r="E112" t="inlineStr">
        <x:is>
          <x:t xml:space="preserve">导师招生路径证据</x:t>
        </x:is>
      </x:c>
      <x:c r="F112" t="inlineStr">
        <x:is>
          <x:t xml:space="preserve">2D资源</x:t>
        </x:is>
      </x:c>
      <x:c r="G112" t="inlineStr">
        <x:is>
          <x:t xml:space="preserve">D3-硕士培养可进入性</x:t>
        </x:is>
      </x:c>
      <x:c r="H112" t="inlineStr">
        <x:is>
          <x:t xml:space="preserve">《东南大学专业学位硕士研究生培养方案》(官方S1): 学制3年;实行'双导师制'(校内+校外);专业实践6学分(必修),实践单位由学院、导师、学生共同商定;未通过不得答辩。</x:t>
        </x:is>
      </x:c>
      <x:c r="I112" t="inlineStr">
        <x:is>
          <x:t xml:space="preserve">S-SEU-P1</x:t>
        </x:is>
      </x:c>
      <x:c r="J112" t="inlineStr">
        <x:is>
          <x:t xml:space="preserve">S1</x:t>
        </x:is>
      </x:c>
      <x:c r="K112" t="inlineStr">
        <x:is>
          <x:t xml:space="preserve">P1</x:t>
        </x:is>
      </x:c>
      <x:c r="L112" t="inlineStr">
        <x:is>
          <x:t xml:space="preserve">已证实</x:t>
        </x:is>
      </x:c>
      <x:c r="M112" t="inlineStr">
        <x:is>
          <x:t xml:space="preserve">仅学院/专业级关联；未证该方向或导师可进入；不得自动打分</x:t>
        </x:is>
      </x:c>
      <x:c r="N112" t="inlineStr">
        <x:is>
          <x:t xml:space="preserve">待人工评价</x:t>
        </x:is>
      </x:c>
    </x:row>
    <x:row r="113">
      <x:c r="A113" t="inlineStr">
        <x:is>
          <x:t xml:space="preserve">P05</x:t>
        </x:is>
      </x:c>
      <x:c r="B113" t="inlineStr">
        <x:is>
          <x:t xml:space="preserve">东南大学</x:t>
        </x:is>
      </x:c>
      <x:c r="C113" t="inlineStr">
        <x:is>
          <x:t xml:space="preserve">009</x:t>
        </x:is>
      </x:c>
      <x:c r="D113" t="inlineStr">
        <x:is>
          <x:t xml:space="preserve">085410</x:t>
        </x:is>
      </x:c>
      <x:c r="E113" t="inlineStr">
        <x:is>
          <x:t xml:space="preserve">导师招生路径证据</x:t>
        </x:is>
      </x:c>
      <x:c r="F113" t="inlineStr">
        <x:is>
          <x:t xml:space="preserve">2D资源</x:t>
        </x:is>
      </x:c>
      <x:c r="G113" t="inlineStr">
        <x:is>
          <x:t xml:space="preserve">D3-硕士培养可进入性</x:t>
        </x:is>
      </x:c>
      <x:c r="H113" t="inlineStr">
        <x:is>
          <x:t xml:space="preserve">东南无锡校区转发研究生院《专业学位研究生专业实践工作安排通知》(S2): 校外导师与实践单位'原则上由学院、导师和学生共同商定';江苏省研究生工作站优先。</x:t>
        </x:is>
      </x:c>
      <x:c r="I113" t="inlineStr">
        <x:is>
          <x:t xml:space="preserve">S-SEU-P2</x:t>
        </x:is>
      </x:c>
      <x:c r="J113" t="inlineStr">
        <x:is>
          <x:t xml:space="preserve">S2</x:t>
        </x:is>
      </x:c>
      <x:c r="K113" t="inlineStr">
        <x:is>
          <x:t xml:space="preserve">P1</x:t>
        </x:is>
      </x:c>
      <x:c r="L113" t="inlineStr">
        <x:is>
          <x:t xml:space="preserve">已证实</x:t>
        </x:is>
      </x:c>
      <x:c r="M113" t="inlineStr">
        <x:is>
          <x:t xml:space="preserve">仅学院/专业级关联；未证该方向或导师可进入；不得自动打分</x:t>
        </x:is>
      </x:c>
      <x:c r="N113" t="inlineStr">
        <x:is>
          <x:t xml:space="preserve">待人工评价</x:t>
        </x:is>
      </x:c>
    </x:row>
    <x:row r="114">
      <x:c r="A114" t="inlineStr">
        <x:is>
          <x:t xml:space="preserve">P05</x:t>
        </x:is>
      </x:c>
      <x:c r="B114" t="inlineStr">
        <x:is>
          <x:t xml:space="preserve">东南大学</x:t>
        </x:is>
      </x:c>
      <x:c r="C114" t="inlineStr">
        <x:is>
          <x:t xml:space="preserve">009</x:t>
        </x:is>
      </x:c>
      <x:c r="D114" t="inlineStr">
        <x:is>
          <x:t xml:space="preserve">085410</x:t>
        </x:is>
      </x:c>
      <x:c r="E114" t="inlineStr">
        <x:is>
          <x:t xml:space="preserve">导师招生路径证据</x:t>
        </x:is>
      </x:c>
      <x:c r="F114" t="inlineStr">
        <x:is>
          <x:t xml:space="preserve">2D风险</x:t>
        </x:is>
      </x:c>
      <x:c r="G114" t="inlineStr">
        <x:is>
          <x:t xml:space="preserve">初试科目变化</x:t>
        </x:is>
      </x:c>
      <x:c r="H114" t="inlineStr">
        <x:is>
          <x:t xml:space="preserve">第四单元:2024自命题935计算机专业基础→2025-2027统考408</x:t>
        </x:is>
      </x:c>
      <x:c r="I114" t="inlineStr">
        <x:is>
          <x:t xml:space="preserve">SRC-P2B-10;SRC-P2B-11</x:t>
        </x:is>
      </x:c>
      <x:c r="J114" t="inlineStr">
        <x:is>
          <x:t xml:space="preserve">S1</x:t>
        </x:is>
      </x:c>
      <x:c r="K114" t="inlineStr">
        <x:is>
          <x:t xml:space="preserve">不适用</x:t>
        </x:is>
      </x:c>
      <x:c r="L114" t="inlineStr">
        <x:is>
          <x:t xml:space="preserve">已证实</x:t>
        </x:is>
      </x:c>
      <x:c r="M114" t="inlineStr">
        <x:is>
          <x:t xml:space="preserve">年份/方向/计划口径须再核对；仅作为评分候选</x:t>
        </x:is>
      </x:c>
      <x:c r="N114" t="inlineStr">
        <x:is>
          <x:t xml:space="preserve">待人工评价</x:t>
        </x:is>
      </x:c>
    </x:row>
    <x:row r="115">
      <x:c r="A115" t="inlineStr">
        <x:is>
          <x:t xml:space="preserve">P05</x:t>
        </x:is>
      </x:c>
      <x:c r="B115" t="inlineStr">
        <x:is>
          <x:t xml:space="preserve">东南大学</x:t>
        </x:is>
      </x:c>
      <x:c r="C115" t="inlineStr">
        <x:is>
          <x:t xml:space="preserve">009</x:t>
        </x:is>
      </x:c>
      <x:c r="D115" t="inlineStr">
        <x:is>
          <x:t xml:space="preserve">085410</x:t>
        </x:is>
      </x:c>
      <x:c r="E115" t="inlineStr">
        <x:is>
          <x:t xml:space="preserve">导师招生路径证据</x:t>
        </x:is>
      </x:c>
      <x:c r="F115" t="inlineStr">
        <x:is>
          <x:t xml:space="preserve">2D风险</x:t>
        </x:is>
      </x:c>
      <x:c r="G115" t="inlineStr">
        <x:is>
          <x:t xml:space="preserve">统考计划年度变化</x:t>
        </x:is>
      </x:c>
      <x:c r="H115" t="inlineStr">
        <x:is>
          <x:t xml:space="preserve">目录'拟考试招生人数'(不含推免): 2024=0(未公布) → 2025=33 → 2026=32 → 2027=28</x:t>
        </x:is>
      </x:c>
      <x:c r="I115" t="inlineStr">
        <x:is>
          <x:t xml:space="preserve">SRC-P2B-08;SRC-P2B-10;SRC-P2B-11;SRC-P2B-12</x:t>
        </x:is>
      </x:c>
      <x:c r="J115" t="inlineStr">
        <x:is>
          <x:t xml:space="preserve">S1</x:t>
        </x:is>
      </x:c>
      <x:c r="K115" t="inlineStr">
        <x:is>
          <x:t xml:space="preserve">不适用</x:t>
        </x:is>
      </x:c>
      <x:c r="L115" t="inlineStr">
        <x:is>
          <x:t xml:space="preserve">已证实</x:t>
        </x:is>
      </x:c>
      <x:c r="M115" t="inlineStr">
        <x:is>
          <x:t xml:space="preserve">年份/方向/计划口径须再核对；仅作为评分候选</x:t>
        </x:is>
      </x:c>
      <x:c r="N115" t="inlineStr">
        <x:is>
          <x:t xml:space="preserve">待人工评价</x:t>
        </x:is>
      </x:c>
    </x:row>
    <x:row r="116">
      <x:c r="A116" t="inlineStr">
        <x:is>
          <x:t xml:space="preserve">P05</x:t>
        </x:is>
      </x:c>
      <x:c r="B116" t="inlineStr">
        <x:is>
          <x:t xml:space="preserve">东南大学</x:t>
        </x:is>
      </x:c>
      <x:c r="C116" t="inlineStr">
        <x:is>
          <x:t xml:space="preserve">009</x:t>
        </x:is>
      </x:c>
      <x:c r="D116" t="inlineStr">
        <x:is>
          <x:t xml:space="preserve">085410</x:t>
        </x:is>
      </x:c>
      <x:c r="E116" t="inlineStr">
        <x:is>
          <x:t xml:space="preserve">实践机制适用性</x:t>
        </x:is>
      </x:c>
      <x:c r="F116" t="inlineStr">
        <x:is>
          <x:t xml:space="preserve">2D资源</x:t>
        </x:is>
      </x:c>
      <x:c r="G116" t="inlineStr">
        <x:is>
          <x:t xml:space="preserve">D3-硕士培养可进入性</x:t>
        </x:is>
      </x:c>
      <x:c r="H116" t="inlineStr">
        <x:is>
          <x:t xml:space="preserve">《东南大学专业学位硕士研究生培养方案》(官方S1): 学制3年;实行'双导师制'(校内+校外);专业实践6学分(必修),实践单位由学院、导师、学生共同商定;未通过不得答辩。</x:t>
        </x:is>
      </x:c>
      <x:c r="I116" t="inlineStr">
        <x:is>
          <x:t xml:space="preserve">S-SEU-P1</x:t>
        </x:is>
      </x:c>
      <x:c r="J116" t="inlineStr">
        <x:is>
          <x:t xml:space="preserve">S1</x:t>
        </x:is>
      </x:c>
      <x:c r="K116" t="inlineStr">
        <x:is>
          <x:t xml:space="preserve">P1</x:t>
        </x:is>
      </x:c>
      <x:c r="L116" t="inlineStr">
        <x:is>
          <x:t xml:space="preserve">已证实</x:t>
        </x:is>
      </x:c>
      <x:c r="M116" t="inlineStr">
        <x:is>
          <x:t xml:space="preserve">仅学院/专业级关联；未证该方向或导师可进入；不得自动打分</x:t>
        </x:is>
      </x:c>
      <x:c r="N116" t="inlineStr">
        <x:is>
          <x:t xml:space="preserve">待人工评价</x:t>
        </x:is>
      </x:c>
    </x:row>
    <x:row r="117">
      <x:c r="A117" t="inlineStr">
        <x:is>
          <x:t xml:space="preserve">P05</x:t>
        </x:is>
      </x:c>
      <x:c r="B117" t="inlineStr">
        <x:is>
          <x:t xml:space="preserve">东南大学</x:t>
        </x:is>
      </x:c>
      <x:c r="C117" t="inlineStr">
        <x:is>
          <x:t xml:space="preserve">009</x:t>
        </x:is>
      </x:c>
      <x:c r="D117" t="inlineStr">
        <x:is>
          <x:t xml:space="preserve">085410</x:t>
        </x:is>
      </x:c>
      <x:c r="E117" t="inlineStr">
        <x:is>
          <x:t xml:space="preserve">实践机制适用性</x:t>
        </x:is>
      </x:c>
      <x:c r="F117" t="inlineStr">
        <x:is>
          <x:t xml:space="preserve">2D资源</x:t>
        </x:is>
      </x:c>
      <x:c r="G117" t="inlineStr">
        <x:is>
          <x:t xml:space="preserve">D3-硕士培养可进入性</x:t>
        </x:is>
      </x:c>
      <x:c r="H117" t="inlineStr">
        <x:is>
          <x:t xml:space="preserve">东南无锡校区转发研究生院《专业学位研究生专业实践工作安排通知》(S2): 校外导师与实践单位'原则上由学院、导师和学生共同商定';江苏省研究生工作站优先。</x:t>
        </x:is>
      </x:c>
      <x:c r="I117" t="inlineStr">
        <x:is>
          <x:t xml:space="preserve">S-SEU-P2</x:t>
        </x:is>
      </x:c>
      <x:c r="J117" t="inlineStr">
        <x:is>
          <x:t xml:space="preserve">S2</x:t>
        </x:is>
      </x:c>
      <x:c r="K117" t="inlineStr">
        <x:is>
          <x:t xml:space="preserve">P1</x:t>
        </x:is>
      </x:c>
      <x:c r="L117" t="inlineStr">
        <x:is>
          <x:t xml:space="preserve">已证实</x:t>
        </x:is>
      </x:c>
      <x:c r="M117" t="inlineStr">
        <x:is>
          <x:t xml:space="preserve">仅学院/专业级关联；未证该方向或导师可进入；不得自动打分</x:t>
        </x:is>
      </x:c>
      <x:c r="N117" t="inlineStr">
        <x:is>
          <x:t xml:space="preserve">待人工评价</x:t>
        </x:is>
      </x:c>
    </x:row>
    <x:row r="118">
      <x:c r="A118" t="inlineStr">
        <x:is>
          <x:t xml:space="preserve">P05</x:t>
        </x:is>
      </x:c>
      <x:c r="B118" t="inlineStr">
        <x:is>
          <x:t xml:space="preserve">东南大学</x:t>
        </x:is>
      </x:c>
      <x:c r="C118" t="inlineStr">
        <x:is>
          <x:t xml:space="preserve">009</x:t>
        </x:is>
      </x:c>
      <x:c r="D118" t="inlineStr">
        <x:is>
          <x:t xml:space="preserve">085410</x:t>
        </x:is>
      </x:c>
      <x:c r="E118" t="inlineStr">
        <x:is>
          <x:t xml:space="preserve">平台资源可进入性</x:t>
        </x:is>
      </x:c>
      <x:c r="F118" t="inlineStr">
        <x:is>
          <x:t xml:space="preserve">2D资源</x:t>
        </x:is>
      </x:c>
      <x:c r="G118" t="inlineStr">
        <x:is>
          <x:t xml:space="preserve">D2-科研与工程资源</x:t>
        </x:is>
      </x:c>
      <x:c r="H118" t="inlineStr">
        <x:is>
          <x:t xml:space="preserve">云智算一体化平台(校级);AI+卓越工程师培养实训实践一体化平台;机器人传感与控制技术研究所(江苏省重点实验室);具身智能产教融合创新实践平台(智元'元苼生态发展计划');东南大学-联想研究院合作。</x:t>
        </x:is>
      </x:c>
      <x:c r="I118" t="inlineStr">
        <x:is>
          <x:t xml:space="preserve">E08;E09;E11;E12;E13</x:t>
        </x:is>
      </x:c>
      <x:c r="J118" t="inlineStr">
        <x:is>
          <x:t xml:space="preserve">S2</x:t>
        </x:is>
      </x:c>
      <x:c r="K118" t="inlineStr">
        <x:is>
          <x:t xml:space="preserve">P2/P3</x:t>
        </x:is>
      </x:c>
      <x:c r="L118" t="inlineStr">
        <x:is>
          <x:t xml:space="preserve">已证实(资源存在)</x:t>
        </x:is>
      </x:c>
      <x:c r="M118" t="inlineStr">
        <x:is>
          <x:t xml:space="preserve">仅学院/专业级关联；未证该方向或导师可进入；不得自动打分</x:t>
        </x:is>
      </x:c>
      <x:c r="N118" t="inlineStr">
        <x:is>
          <x:t xml:space="preserve">待人工评价</x:t>
        </x:is>
      </x:c>
    </x:row>
    <x:row r="119">
      <x:c r="A119" t="inlineStr">
        <x:is>
          <x:t xml:space="preserve">P05</x:t>
        </x:is>
      </x:c>
      <x:c r="B119" t="inlineStr">
        <x:is>
          <x:t xml:space="preserve">东南大学</x:t>
        </x:is>
      </x:c>
      <x:c r="C119" t="inlineStr">
        <x:is>
          <x:t xml:space="preserve">009</x:t>
        </x:is>
      </x:c>
      <x:c r="D119" t="inlineStr">
        <x:is>
          <x:t xml:space="preserve">085410</x:t>
        </x:is>
      </x:c>
      <x:c r="E119" t="inlineStr">
        <x:is>
          <x:t xml:space="preserve">城市AI岗位生态</x:t>
        </x:is>
      </x:c>
      <x:c r="F119" t="inlineStr">
        <x:is>
          <x:t xml:space="preserve">2D资源</x:t>
        </x:is>
      </x:c>
      <x:c r="G119" t="inlineStr">
        <x:is>
          <x:t xml:space="preserve">D4-就业与产业连接</x:t>
        </x:is>
      </x:c>
      <x:c r="H119" t="inlineStr">
        <x:is>
          <x:t xml:space="preserve">学院2023届毕业生去向报告(S2,学院级): 硕士毕业去向落实率99.13%;硕士协议就业93.94%;近50%赴互联网头部(字节/阿里/腾讯/百度/网易/京东/米哈游);40+金融;10+国防科研。</x:t>
        </x:is>
      </x:c>
      <x:c r="I119" t="inlineStr">
        <x:is>
          <x:t xml:space="preserve">S-SEU-J1;S-SEU-J2</x:t>
        </x:is>
      </x:c>
      <x:c r="J119" t="inlineStr">
        <x:is>
          <x:t xml:space="preserve">S2</x:t>
        </x:is>
      </x:c>
      <x:c r="K119" t="inlineStr">
        <x:is>
          <x:t xml:space="preserve">P1</x:t>
        </x:is>
      </x:c>
      <x:c r="L119" t="inlineStr">
        <x:is>
          <x:t xml:space="preserve">已证实(学院级)</x:t>
        </x:is>
      </x:c>
      <x:c r="M119" t="inlineStr">
        <x:is>
          <x:t xml:space="preserve">仅学院/专业级关联；未证该方向或导师可进入；不得自动打分</x:t>
        </x:is>
      </x:c>
      <x:c r="N119" t="inlineStr">
        <x:is>
          <x:t xml:space="preserve">待人工评价</x:t>
        </x:is>
      </x:c>
    </x:row>
    <x:row r="120">
      <x:c r="A120" t="inlineStr">
        <x:is>
          <x:t xml:space="preserve">P05</x:t>
        </x:is>
      </x:c>
      <x:c r="B120" t="inlineStr">
        <x:is>
          <x:t xml:space="preserve">东南大学</x:t>
        </x:is>
      </x:c>
      <x:c r="C120" t="inlineStr">
        <x:is>
          <x:t xml:space="preserve">009</x:t>
        </x:is>
      </x:c>
      <x:c r="D120" t="inlineStr">
        <x:is>
          <x:t xml:space="preserve">085410</x:t>
        </x:is>
      </x:c>
      <x:c r="E120" t="inlineStr">
        <x:is>
          <x:t xml:space="preserve">城市AI岗位生态</x:t>
        </x:is>
      </x:c>
      <x:c r="F120" t="inlineStr">
        <x:is>
          <x:t xml:space="preserve">2D资源</x:t>
        </x:is>
      </x:c>
      <x:c r="G120" t="inlineStr">
        <x:is>
          <x:t xml:space="preserve">D4-就业与产业连接</x:t>
        </x:is>
      </x:c>
      <x:c r="H120" t="inlineStr">
        <x:is>
          <x:t xml:space="preserve">倪庆剑实验室(S3): 硕士研究生毕业去向微软、阿里、腾讯、百度、蚂蚁、TP-LINK、国家电网、南京银行等。</x:t>
        </x:is>
      </x:c>
      <x:c r="I120" t="inlineStr">
        <x:is>
          <x:t xml:space="preserve">S-SEU-P5</x:t>
        </x:is>
      </x:c>
      <x:c r="J120" t="inlineStr">
        <x:is>
          <x:t xml:space="preserve">S3</x:t>
        </x:is>
      </x:c>
      <x:c r="K120" t="inlineStr">
        <x:is>
          <x:t xml:space="preserve">P2</x:t>
        </x:is>
      </x:c>
      <x:c r="L120" t="inlineStr">
        <x:is>
          <x:t xml:space="preserve">已证实(实验室级)</x:t>
        </x:is>
      </x:c>
      <x:c r="M120" t="inlineStr">
        <x:is>
          <x:t xml:space="preserve">仅学院/专业级关联；未证该方向或导师可进入；不得自动打分</x:t>
        </x:is>
      </x:c>
      <x:c r="N120" t="inlineStr">
        <x:is>
          <x:t xml:space="preserve">待人工评价</x:t>
        </x:is>
      </x:c>
    </x:row>
    <x:row r="121">
      <x:c r="A121" t="inlineStr">
        <x:is>
          <x:t xml:space="preserve">P05</x:t>
        </x:is>
      </x:c>
      <x:c r="B121" t="inlineStr">
        <x:is>
          <x:t xml:space="preserve">东南大学</x:t>
        </x:is>
      </x:c>
      <x:c r="C121" t="inlineStr">
        <x:is>
          <x:t xml:space="preserve">009</x:t>
        </x:is>
      </x:c>
      <x:c r="D121" t="inlineStr">
        <x:is>
          <x:t xml:space="preserve">085410</x:t>
        </x:is>
      </x:c>
      <x:c r="E121" t="inlineStr">
        <x:is>
          <x:t xml:space="preserve">实习合作半径</x:t>
        </x:is>
      </x:c>
      <x:c r="F121" t="inlineStr">
        <x:is>
          <x:t xml:space="preserve">2D资源</x:t>
        </x:is>
      </x:c>
      <x:c r="G121" t="inlineStr">
        <x:is>
          <x:t xml:space="preserve">D4-就业与产业连接</x:t>
        </x:is>
      </x:c>
      <x:c r="H121" t="inlineStr">
        <x:is>
          <x:t xml:space="preserve">学院2023届毕业生去向报告(S2,学院级): 硕士毕业去向落实率99.13%;硕士协议就业93.94%;近50%赴互联网头部(字节/阿里/腾讯/百度/网易/京东/米哈游);40+金融;10+国防科研。</x:t>
        </x:is>
      </x:c>
      <x:c r="I121" t="inlineStr">
        <x:is>
          <x:t xml:space="preserve">S-SEU-J1;S-SEU-J2</x:t>
        </x:is>
      </x:c>
      <x:c r="J121" t="inlineStr">
        <x:is>
          <x:t xml:space="preserve">S2</x:t>
        </x:is>
      </x:c>
      <x:c r="K121" t="inlineStr">
        <x:is>
          <x:t xml:space="preserve">P1</x:t>
        </x:is>
      </x:c>
      <x:c r="L121" t="inlineStr">
        <x:is>
          <x:t xml:space="preserve">已证实(学院级)</x:t>
        </x:is>
      </x:c>
      <x:c r="M121" t="inlineStr">
        <x:is>
          <x:t xml:space="preserve">仅学院/专业级关联；未证该方向或导师可进入；不得自动打分</x:t>
        </x:is>
      </x:c>
      <x:c r="N121" t="inlineStr">
        <x:is>
          <x:t xml:space="preserve">待人工评价</x:t>
        </x:is>
      </x:c>
    </x:row>
    <x:row r="122">
      <x:c r="A122" t="inlineStr">
        <x:is>
          <x:t xml:space="preserve">P05</x:t>
        </x:is>
      </x:c>
      <x:c r="B122" t="inlineStr">
        <x:is>
          <x:t xml:space="preserve">东南大学</x:t>
        </x:is>
      </x:c>
      <x:c r="C122" t="inlineStr">
        <x:is>
          <x:t xml:space="preserve">009</x:t>
        </x:is>
      </x:c>
      <x:c r="D122" t="inlineStr">
        <x:is>
          <x:t xml:space="preserve">085410</x:t>
        </x:is>
      </x:c>
      <x:c r="E122" t="inlineStr">
        <x:is>
          <x:t xml:space="preserve">实习合作半径</x:t>
        </x:is>
      </x:c>
      <x:c r="F122" t="inlineStr">
        <x:is>
          <x:t xml:space="preserve">2D资源</x:t>
        </x:is>
      </x:c>
      <x:c r="G122" t="inlineStr">
        <x:is>
          <x:t xml:space="preserve">D4-就业与产业连接</x:t>
        </x:is>
      </x:c>
      <x:c r="H122" t="inlineStr">
        <x:is>
          <x:t xml:space="preserve">倪庆剑实验室(S3): 硕士研究生毕业去向微软、阿里、腾讯、百度、蚂蚁、TP-LINK、国家电网、南京银行等。</x:t>
        </x:is>
      </x:c>
      <x:c r="I122" t="inlineStr">
        <x:is>
          <x:t xml:space="preserve">S-SEU-P5</x:t>
        </x:is>
      </x:c>
      <x:c r="J122" t="inlineStr">
        <x:is>
          <x:t xml:space="preserve">S3</x:t>
        </x:is>
      </x:c>
      <x:c r="K122" t="inlineStr">
        <x:is>
          <x:t xml:space="preserve">P2</x:t>
        </x:is>
      </x:c>
      <x:c r="L122" t="inlineStr">
        <x:is>
          <x:t xml:space="preserve">已证实(实验室级)</x:t>
        </x:is>
      </x:c>
      <x:c r="M122" t="inlineStr">
        <x:is>
          <x:t xml:space="preserve">仅学院/专业级关联；未证该方向或导师可进入；不得自动打分</x:t>
        </x:is>
      </x:c>
      <x:c r="N122" t="inlineStr">
        <x:is>
          <x:t xml:space="preserve">待人工评价</x:t>
        </x:is>
      </x:c>
    </x:row>
    <x:row r="123">
      <x:c r="A123" t="inlineStr">
        <x:is>
          <x:t xml:space="preserve">P05</x:t>
        </x:is>
      </x:c>
      <x:c r="B123" t="inlineStr">
        <x:is>
          <x:t xml:space="preserve">东南大学</x:t>
        </x:is>
      </x:c>
      <x:c r="C123" t="inlineStr">
        <x:is>
          <x:t xml:space="preserve">009</x:t>
        </x:is>
      </x:c>
      <x:c r="D123" t="inlineStr">
        <x:is>
          <x:t xml:space="preserve">085410</x:t>
        </x:is>
      </x:c>
      <x:c r="E123" t="inlineStr">
        <x:is>
          <x:t xml:space="preserve">学制与企业实践</x:t>
        </x:is>
      </x:c>
      <x:c r="F123" t="inlineStr">
        <x:is>
          <x:t xml:space="preserve">2D资源</x:t>
        </x:is>
      </x:c>
      <x:c r="G123" t="inlineStr">
        <x:is>
          <x:t xml:space="preserve">D3-硕士培养可进入性</x:t>
        </x:is>
      </x:c>
      <x:c r="H123" t="inlineStr">
        <x:is>
          <x:t xml:space="preserve">《东南大学专业学位硕士研究生培养方案》(官方S1): 学制3年;实行'双导师制'(校内+校外);专业实践6学分(必修),实践单位由学院、导师、学生共同商定;未通过不得答辩。</x:t>
        </x:is>
      </x:c>
      <x:c r="I123" t="inlineStr">
        <x:is>
          <x:t xml:space="preserve">S-SEU-P1</x:t>
        </x:is>
      </x:c>
      <x:c r="J123" t="inlineStr">
        <x:is>
          <x:t xml:space="preserve">S1</x:t>
        </x:is>
      </x:c>
      <x:c r="K123" t="inlineStr">
        <x:is>
          <x:t xml:space="preserve">P1</x:t>
        </x:is>
      </x:c>
      <x:c r="L123" t="inlineStr">
        <x:is>
          <x:t xml:space="preserve">已证实</x:t>
        </x:is>
      </x:c>
      <x:c r="M123" t="inlineStr">
        <x:is>
          <x:t xml:space="preserve">仅学院/专业级关联；未证该方向或导师可进入；不得自动打分</x:t>
        </x:is>
      </x:c>
      <x:c r="N123" t="inlineStr">
        <x:is>
          <x:t xml:space="preserve">待人工评价</x:t>
        </x:is>
      </x:c>
    </x:row>
    <x:row r="124">
      <x:c r="A124" t="inlineStr">
        <x:is>
          <x:t xml:space="preserve">P05</x:t>
        </x:is>
      </x:c>
      <x:c r="B124" t="inlineStr">
        <x:is>
          <x:t xml:space="preserve">东南大学</x:t>
        </x:is>
      </x:c>
      <x:c r="C124" t="inlineStr">
        <x:is>
          <x:t xml:space="preserve">009</x:t>
        </x:is>
      </x:c>
      <x:c r="D124" t="inlineStr">
        <x:is>
          <x:t xml:space="preserve">085410</x:t>
        </x:is>
      </x:c>
      <x:c r="E124" t="inlineStr">
        <x:is>
          <x:t xml:space="preserve">学制与企业实践</x:t>
        </x:is>
      </x:c>
      <x:c r="F124" t="inlineStr">
        <x:is>
          <x:t xml:space="preserve">2D资源</x:t>
        </x:is>
      </x:c>
      <x:c r="G124" t="inlineStr">
        <x:is>
          <x:t xml:space="preserve">D3-硕士培养可进入性</x:t>
        </x:is>
      </x:c>
      <x:c r="H124" t="inlineStr">
        <x:is>
          <x:t xml:space="preserve">东南无锡校区转发研究生院《专业学位研究生专业实践工作安排通知》(S2): 校外导师与实践单位'原则上由学院、导师和学生共同商定';江苏省研究生工作站优先。</x:t>
        </x:is>
      </x:c>
      <x:c r="I124" t="inlineStr">
        <x:is>
          <x:t xml:space="preserve">S-SEU-P2</x:t>
        </x:is>
      </x:c>
      <x:c r="J124" t="inlineStr">
        <x:is>
          <x:t xml:space="preserve">S2</x:t>
        </x:is>
      </x:c>
      <x:c r="K124" t="inlineStr">
        <x:is>
          <x:t xml:space="preserve">P1</x:t>
        </x:is>
      </x:c>
      <x:c r="L124" t="inlineStr">
        <x:is>
          <x:t xml:space="preserve">已证实</x:t>
        </x:is>
      </x:c>
      <x:c r="M124" t="inlineStr">
        <x:is>
          <x:t xml:space="preserve">仅学院/专业级关联；未证该方向或导师可进入；不得自动打分</x:t>
        </x:is>
      </x:c>
      <x:c r="N124" t="inlineStr">
        <x:is>
          <x:t xml:space="preserve">待人工评价</x:t>
        </x:is>
      </x:c>
    </x:row>
    <x:row r="125">
      <x:c r="A125" t="inlineStr">
        <x:is>
          <x:t xml:space="preserve">P06</x:t>
        </x:is>
      </x:c>
      <x:c r="B125" t="inlineStr">
        <x:is>
          <x:t xml:space="preserve">合肥工业大学</x:t>
        </x:is>
      </x:c>
      <x:c r="C125" t="inlineStr">
        <x:is>
          <x:t xml:space="preserve">005</x:t>
        </x:is>
      </x:c>
      <x:c r="D125" t="inlineStr">
        <x:is>
          <x:t xml:space="preserve">085410</x:t>
        </x:is>
      </x:c>
      <x:c r="E125" t="inlineStr">
        <x:is>
          <x:t xml:space="preserve">岗位与实习机会</x:t>
        </x:is>
      </x:c>
      <x:c r="F125" t="inlineStr">
        <x:is>
          <x:t xml:space="preserve">2D资源</x:t>
        </x:is>
      </x:c>
      <x:c r="G125" t="inlineStr">
        <x:is>
          <x:t xml:space="preserve">D4-就业与产业连接</x:t>
        </x:is>
      </x:c>
      <x:c r="H125" t="inlineStr">
        <x:is>
          <x:t xml:space="preserve">合工大新闻网/人民日报(S2): '小米工程师训练营'结营学员中100余名毕业生签约小米、华为、美团等;学校与140家企业建联培基地、行业导师1300余人。</x:t>
        </x:is>
      </x:c>
      <x:c r="I125" t="inlineStr">
        <x:is>
          <x:t xml:space="preserve">S-HFUT-J1</x:t>
        </x:is>
      </x:c>
      <x:c r="J125" t="inlineStr">
        <x:is>
          <x:t xml:space="preserve">S2</x:t>
        </x:is>
      </x:c>
      <x:c r="K125" t="inlineStr">
        <x:is>
          <x:t xml:space="preserve">P2</x:t>
        </x:is>
      </x:c>
      <x:c r="L125" t="inlineStr">
        <x:is>
          <x:t xml:space="preserve">已证实</x:t>
        </x:is>
      </x:c>
      <x:c r="M125" t="inlineStr">
        <x:is>
          <x:t xml:space="preserve">仅学院/专业级关联；未证该方向或导师可进入；不得自动打分</x:t>
        </x:is>
      </x:c>
      <x:c r="N125" t="inlineStr">
        <x:is>
          <x:t xml:space="preserve">待人工评价</x:t>
        </x:is>
      </x:c>
    </x:row>
    <x:row r="126">
      <x:c r="A126" t="inlineStr">
        <x:is>
          <x:t xml:space="preserve">P06</x:t>
        </x:is>
      </x:c>
      <x:c r="B126" t="inlineStr">
        <x:is>
          <x:t xml:space="preserve">合肥工业大学</x:t>
        </x:is>
      </x:c>
      <x:c r="C126" t="inlineStr">
        <x:is>
          <x:t xml:space="preserve">005</x:t>
        </x:is>
      </x:c>
      <x:c r="D126" t="inlineStr">
        <x:is>
          <x:t xml:space="preserve">085410</x:t>
        </x:is>
      </x:c>
      <x:c r="E126" t="inlineStr">
        <x:is>
          <x:t xml:space="preserve">产业合作可参与性</x:t>
        </x:is>
      </x:c>
      <x:c r="F126" t="inlineStr">
        <x:is>
          <x:t xml:space="preserve">2D资源</x:t>
        </x:is>
      </x:c>
      <x:c r="G126" t="inlineStr">
        <x:is>
          <x:t xml:space="preserve">D2-科研与工程资源</x:t>
        </x:is>
      </x:c>
      <x:c r="H126" t="inlineStr">
        <x:is>
          <x:t xml:space="preserve">高性能计算平台(CPU超算+GPU智算);大数据知识工程教育部重点实验室;具身智能绳驱机器人实验室(含人形机器人平台);古月居具身智能联合创新实验室;乐聚-合工大机器人俱乐部。</x:t>
        </x:is>
      </x:c>
      <x:c r="I126" t="inlineStr">
        <x:is>
          <x:t xml:space="preserve">HFUT-S10;HFUT-S9;HFUT-S7;HFUT-S13;HFUT-S14;HFUT-S5</x:t>
        </x:is>
      </x:c>
      <x:c r="J126" t="inlineStr">
        <x:is>
          <x:t xml:space="preserve">S2</x:t>
        </x:is>
      </x:c>
      <x:c r="K126" t="inlineStr">
        <x:is>
          <x:t xml:space="preserve">P3</x:t>
        </x:is>
      </x:c>
      <x:c r="L126" t="inlineStr">
        <x:is>
          <x:t xml:space="preserve">已证实(资源存在)</x:t>
        </x:is>
      </x:c>
      <x:c r="M126" t="inlineStr">
        <x:is>
          <x:t xml:space="preserve">仅学院/专业级关联；未证该方向或导师可进入；不得自动打分</x:t>
        </x:is>
      </x:c>
      <x:c r="N126" t="inlineStr">
        <x:is>
          <x:t xml:space="preserve">待人工评价</x:t>
        </x:is>
      </x:c>
    </x:row>
    <x:row r="127">
      <x:c r="A127" t="inlineStr">
        <x:is>
          <x:t xml:space="preserve">P06</x:t>
        </x:is>
      </x:c>
      <x:c r="B127" t="inlineStr">
        <x:is>
          <x:t xml:space="preserve">合肥工业大学</x:t>
        </x:is>
      </x:c>
      <x:c r="C127" t="inlineStr">
        <x:is>
          <x:t xml:space="preserve">005</x:t>
        </x:is>
      </x:c>
      <x:c r="D127" t="inlineStr">
        <x:is>
          <x:t xml:space="preserve">085410</x:t>
        </x:is>
      </x:c>
      <x:c r="E127" t="inlineStr">
        <x:is>
          <x:t xml:space="preserve">产业合作可参与性</x:t>
        </x:is>
      </x:c>
      <x:c r="F127" t="inlineStr">
        <x:is>
          <x:t xml:space="preserve">2D资源</x:t>
        </x:is>
      </x:c>
      <x:c r="G127" t="inlineStr">
        <x:is>
          <x:t xml:space="preserve">D3-硕士培养可进入性</x:t>
        </x:is>
      </x:c>
      <x:c r="H127" t="inlineStr">
        <x:is>
          <x:t xml:space="preserve">'小米工程师训练营'(S2,院长洪日昌): 面向本科大三与研究生二年级,12天理论+3天实践,通过考核获提前批录用;已两期700余人参与。</x:t>
        </x:is>
      </x:c>
      <x:c r="I127" t="inlineStr">
        <x:is>
          <x:t xml:space="preserve">S-HFUT-P1</x:t>
        </x:is>
      </x:c>
      <x:c r="J127" t="inlineStr">
        <x:is>
          <x:t xml:space="preserve">S2</x:t>
        </x:is>
      </x:c>
      <x:c r="K127" t="inlineStr">
        <x:is>
          <x:t xml:space="preserve">P1</x:t>
        </x:is>
      </x:c>
      <x:c r="L127" t="inlineStr">
        <x:is>
          <x:t xml:space="preserve">已证实</x:t>
        </x:is>
      </x:c>
      <x:c r="M127" t="inlineStr">
        <x:is>
          <x:t xml:space="preserve">仅学院/专业级关联；未证该方向或导师可进入；不得自动打分</x:t>
        </x:is>
      </x:c>
      <x:c r="N127" t="inlineStr">
        <x:is>
          <x:t xml:space="preserve">待人工评价</x:t>
        </x:is>
      </x:c>
    </x:row>
    <x:row r="128">
      <x:c r="A128" t="inlineStr">
        <x:is>
          <x:t xml:space="preserve">P06</x:t>
        </x:is>
      </x:c>
      <x:c r="B128" t="inlineStr">
        <x:is>
          <x:t xml:space="preserve">合肥工业大学</x:t>
        </x:is>
      </x:c>
      <x:c r="C128" t="inlineStr">
        <x:is>
          <x:t xml:space="preserve">005</x:t>
        </x:is>
      </x:c>
      <x:c r="D128" t="inlineStr">
        <x:is>
          <x:t xml:space="preserve">085410</x:t>
        </x:is>
      </x:c>
      <x:c r="E128" t="inlineStr">
        <x:is>
          <x:t xml:space="preserve">Agent/LLM能力积累</x:t>
        </x:is>
      </x:c>
      <x:c r="F128" t="inlineStr">
        <x:is>
          <x:t xml:space="preserve">2D资源</x:t>
        </x:is>
      </x:c>
      <x:c r="G128" t="inlineStr">
        <x:is>
          <x:t xml:space="preserve">D1-AI科研方向匹配</x:t>
        </x:is>
      </x:c>
      <x:c r="H128" t="inlineStr">
        <x:is>
          <x:t xml:space="preserve">媒体计算实验室LMC/AIM-Lab(汪萌、洪日昌):多媒体内容分析/图像视频理解/大模型;胡金鹏:NLP/大模型/具身智能;李佳:情感计算/具身智能/养老机器人;郝艳宾:大模型应用;俞奎:因果推断/大模型与智能问答;普楠LION:可信多媒体计算CV。</x:t>
        </x:is>
      </x:c>
      <x:c r="I128" t="inlineStr">
        <x:is>
          <x:t xml:space="preserve">HFUT-S2;HFUT-S6;HFUT-S1</x:t>
        </x:is>
      </x:c>
      <x:c r="J128" t="inlineStr">
        <x:is>
          <x:t xml:space="preserve">S2</x:t>
        </x:is>
      </x:c>
      <x:c r="K128" t="inlineStr">
        <x:is>
          <x:t xml:space="preserve">P2</x:t>
        </x:is>
      </x:c>
      <x:c r="L128" t="inlineStr">
        <x:is>
          <x:t xml:space="preserve">已证实(方向)</x:t>
        </x:is>
      </x:c>
      <x:c r="M128" t="inlineStr">
        <x:is>
          <x:t xml:space="preserve">仅学院/专业级关联；未证该方向或导师可进入；不得自动打分</x:t>
        </x:is>
      </x:c>
      <x:c r="N128" t="inlineStr">
        <x:is>
          <x:t xml:space="preserve">待人工评价</x:t>
        </x:is>
      </x:c>
    </x:row>
    <x:row r="129">
      <x:c r="A129" t="inlineStr">
        <x:is>
          <x:t xml:space="preserve">P06</x:t>
        </x:is>
      </x:c>
      <x:c r="B129" t="inlineStr">
        <x:is>
          <x:t xml:space="preserve">合肥工业大学</x:t>
        </x:is>
      </x:c>
      <x:c r="C129" t="inlineStr">
        <x:is>
          <x:t xml:space="preserve">005</x:t>
        </x:is>
      </x:c>
      <x:c r="D129" t="inlineStr">
        <x:is>
          <x:t xml:space="preserve">085410</x:t>
        </x:is>
      </x:c>
      <x:c r="E129" t="inlineStr">
        <x:is>
          <x:t xml:space="preserve">Agent/LLM能力积累</x:t>
        </x:is>
      </x:c>
      <x:c r="F129" t="inlineStr">
        <x:is>
          <x:t xml:space="preserve">2D资源</x:t>
        </x:is>
      </x:c>
      <x:c r="G129" t="inlineStr">
        <x:is>
          <x:t xml:space="preserve">D2-科研与工程资源</x:t>
        </x:is>
      </x:c>
      <x:c r="H129" t="inlineStr">
        <x:is>
          <x:t xml:space="preserve">高性能计算平台(CPU超算+GPU智算);大数据知识工程教育部重点实验室;具身智能绳驱机器人实验室(含人形机器人平台);古月居具身智能联合创新实验室;乐聚-合工大机器人俱乐部。</x:t>
        </x:is>
      </x:c>
      <x:c r="I129" t="inlineStr">
        <x:is>
          <x:t xml:space="preserve">HFUT-S10;HFUT-S9;HFUT-S7;HFUT-S13;HFUT-S14;HFUT-S5</x:t>
        </x:is>
      </x:c>
      <x:c r="J129" t="inlineStr">
        <x:is>
          <x:t xml:space="preserve">S2</x:t>
        </x:is>
      </x:c>
      <x:c r="K129" t="inlineStr">
        <x:is>
          <x:t xml:space="preserve">P3</x:t>
        </x:is>
      </x:c>
      <x:c r="L129" t="inlineStr">
        <x:is>
          <x:t xml:space="preserve">已证实(资源存在)</x:t>
        </x:is>
      </x:c>
      <x:c r="M129" t="inlineStr">
        <x:is>
          <x:t xml:space="preserve">仅学院/专业级关联；未证该方向或导师可进入；不得自动打分</x:t>
        </x:is>
      </x:c>
      <x:c r="N129" t="inlineStr">
        <x:is>
          <x:t xml:space="preserve">待人工评价</x:t>
        </x:is>
      </x:c>
    </x:row>
    <x:row r="130">
      <x:c r="A130" t="inlineStr">
        <x:is>
          <x:t xml:space="preserve">P06</x:t>
        </x:is>
      </x:c>
      <x:c r="B130" t="inlineStr">
        <x:is>
          <x:t xml:space="preserve">合肥工业大学</x:t>
        </x:is>
      </x:c>
      <x:c r="C130" t="inlineStr">
        <x:is>
          <x:t xml:space="preserve">005</x:t>
        </x:is>
      </x:c>
      <x:c r="D130" t="inlineStr">
        <x:is>
          <x:t xml:space="preserve">085410</x:t>
        </x:is>
      </x:c>
      <x:c r="E130" t="inlineStr">
        <x:is>
          <x:t xml:space="preserve">具身/机器人发展空间</x:t>
        </x:is>
      </x:c>
      <x:c r="F130" t="inlineStr">
        <x:is>
          <x:t xml:space="preserve">2D资源</x:t>
        </x:is>
      </x:c>
      <x:c r="G130" t="inlineStr">
        <x:is>
          <x:t xml:space="preserve">D1-AI科研方向匹配</x:t>
        </x:is>
      </x:c>
      <x:c r="H130" t="inlineStr">
        <x:is>
          <x:t xml:space="preserve">媒体计算实验室LMC/AIM-Lab(汪萌、洪日昌):多媒体内容分析/图像视频理解/大模型;胡金鹏:NLP/大模型/具身智能;李佳:情感计算/具身智能/养老机器人;郝艳宾:大模型应用;俞奎:因果推断/大模型与智能问答;普楠LION:可信多媒体计算CV。</x:t>
        </x:is>
      </x:c>
      <x:c r="I130" t="inlineStr">
        <x:is>
          <x:t xml:space="preserve">HFUT-S2;HFUT-S6;HFUT-S1</x:t>
        </x:is>
      </x:c>
      <x:c r="J130" t="inlineStr">
        <x:is>
          <x:t xml:space="preserve">S2</x:t>
        </x:is>
      </x:c>
      <x:c r="K130" t="inlineStr">
        <x:is>
          <x:t xml:space="preserve">P2</x:t>
        </x:is>
      </x:c>
      <x:c r="L130" t="inlineStr">
        <x:is>
          <x:t xml:space="preserve">已证实(方向)</x:t>
        </x:is>
      </x:c>
      <x:c r="M130" t="inlineStr">
        <x:is>
          <x:t xml:space="preserve">仅学院/专业级关联；未证该方向或导师可进入；不得自动打分</x:t>
        </x:is>
      </x:c>
      <x:c r="N130" t="inlineStr">
        <x:is>
          <x:t xml:space="preserve">待人工评价</x:t>
        </x:is>
      </x:c>
    </x:row>
    <x:row r="131">
      <x:c r="A131" t="inlineStr">
        <x:is>
          <x:t xml:space="preserve">P06</x:t>
        </x:is>
      </x:c>
      <x:c r="B131" t="inlineStr">
        <x:is>
          <x:t xml:space="preserve">合肥工业大学</x:t>
        </x:is>
      </x:c>
      <x:c r="C131" t="inlineStr">
        <x:is>
          <x:t xml:space="preserve">005</x:t>
        </x:is>
      </x:c>
      <x:c r="D131" t="inlineStr">
        <x:is>
          <x:t xml:space="preserve">085410</x:t>
        </x:is>
      </x:c>
      <x:c r="E131" t="inlineStr">
        <x:is>
          <x:t xml:space="preserve">具身/机器人发展空间</x:t>
        </x:is>
      </x:c>
      <x:c r="F131" t="inlineStr">
        <x:is>
          <x:t xml:space="preserve">2D资源</x:t>
        </x:is>
      </x:c>
      <x:c r="G131" t="inlineStr">
        <x:is>
          <x:t xml:space="preserve">D2-科研与工程资源</x:t>
        </x:is>
      </x:c>
      <x:c r="H131" t="inlineStr">
        <x:is>
          <x:t xml:space="preserve">高性能计算平台(CPU超算+GPU智算);大数据知识工程教育部重点实验室;具身智能绳驱机器人实验室(含人形机器人平台);古月居具身智能联合创新实验室;乐聚-合工大机器人俱乐部。</x:t>
        </x:is>
      </x:c>
      <x:c r="I131" t="inlineStr">
        <x:is>
          <x:t xml:space="preserve">HFUT-S10;HFUT-S9;HFUT-S7;HFUT-S13;HFUT-S14;HFUT-S5</x:t>
        </x:is>
      </x:c>
      <x:c r="J131" t="inlineStr">
        <x:is>
          <x:t xml:space="preserve">S2</x:t>
        </x:is>
      </x:c>
      <x:c r="K131" t="inlineStr">
        <x:is>
          <x:t xml:space="preserve">P3</x:t>
        </x:is>
      </x:c>
      <x:c r="L131" t="inlineStr">
        <x:is>
          <x:t xml:space="preserve">已证实(资源存在)</x:t>
        </x:is>
      </x:c>
      <x:c r="M131" t="inlineStr">
        <x:is>
          <x:t xml:space="preserve">仅学院/专业级关联；未证该方向或导师可进入；不得自动打分</x:t>
        </x:is>
      </x:c>
      <x:c r="N131" t="inlineStr">
        <x:is>
          <x:t xml:space="preserve">待人工评价</x:t>
        </x:is>
      </x:c>
    </x:row>
    <x:row r="132">
      <x:c r="A132" t="inlineStr">
        <x:is>
          <x:t xml:space="preserve">P06</x:t>
        </x:is>
      </x:c>
      <x:c r="B132" t="inlineStr">
        <x:is>
          <x:t xml:space="preserve">合肥工业大学</x:t>
        </x:is>
      </x:c>
      <x:c r="C132" t="inlineStr">
        <x:is>
          <x:t xml:space="preserve">005</x:t>
        </x:is>
      </x:c>
      <x:c r="D132" t="inlineStr">
        <x:is>
          <x:t xml:space="preserve">085410</x:t>
        </x:is>
      </x:c>
      <x:c r="E132" t="inlineStr">
        <x:is>
          <x:t xml:space="preserve">全日制统考路径明确性</x:t>
        </x:is>
      </x:c>
      <x:c r="F132" t="inlineStr">
        <x:is>
          <x:t xml:space="preserve">2D风险</x:t>
        </x:is>
      </x:c>
      <x:c r="G132" t="inlineStr">
        <x:is>
          <x:t xml:space="preserve">初试科目变化</x:t>
        </x:is>
      </x:c>
      <x:c r="H132" t="inlineStr">
        <x:is>
          <x:t xml:space="preserve">初试:101/204/302/408计算机学科专业基础;复试:0052计算机科学与技术学科专业综合</x:t>
        </x:is>
      </x:c>
      <x:c r="I132" t="inlineStr">
        <x:is>
          <x:t xml:space="preserve">S-HFUT-M3</x:t>
        </x:is>
      </x:c>
      <x:c r="J132" t="inlineStr">
        <x:is>
          <x:t xml:space="preserve">S1</x:t>
        </x:is>
      </x:c>
      <x:c r="K132" t="inlineStr">
        <x:is>
          <x:t xml:space="preserve">不适用</x:t>
        </x:is>
      </x:c>
      <x:c r="L132" t="inlineStr">
        <x:is>
          <x:t xml:space="preserve">已证实</x:t>
        </x:is>
      </x:c>
      <x:c r="M132" t="inlineStr">
        <x:is>
          <x:t xml:space="preserve">年份/方向/计划口径须再核对；仅作为评分候选</x:t>
        </x:is>
      </x:c>
      <x:c r="N132" t="inlineStr">
        <x:is>
          <x:t xml:space="preserve">待人工评价</x:t>
        </x:is>
      </x:c>
    </x:row>
    <x:row r="133">
      <x:c r="A133" t="inlineStr">
        <x:is>
          <x:t xml:space="preserve">P06</x:t>
        </x:is>
      </x:c>
      <x:c r="B133" t="inlineStr">
        <x:is>
          <x:t xml:space="preserve">合肥工业大学</x:t>
        </x:is>
      </x:c>
      <x:c r="C133" t="inlineStr">
        <x:is>
          <x:t xml:space="preserve">005</x:t>
        </x:is>
      </x:c>
      <x:c r="D133" t="inlineStr">
        <x:is>
          <x:t xml:space="preserve">085410</x:t>
        </x:is>
      </x:c>
      <x:c r="E133" t="inlineStr">
        <x:is>
          <x:t xml:space="preserve">全日制统考路径明确性</x:t>
        </x:is>
      </x:c>
      <x:c r="F133" t="inlineStr">
        <x:is>
          <x:t xml:space="preserve">2D风险</x:t>
        </x:is>
      </x:c>
      <x:c r="G133" t="inlineStr">
        <x:is>
          <x:t xml:space="preserve">统考计划年度变化</x:t>
        </x:is>
      </x:c>
      <x:c r="H133" t="inlineStr">
        <x:is>
          <x:t xml:space="preserve">复试阶段统考计划(已扣推免): 2024=23 → 2025=26 → 2026=46</x:t>
        </x:is>
      </x:c>
      <x:c r="I133" t="inlineStr">
        <x:is>
          <x:t xml:space="preserve">SRC-P2B-14;SRC-P2B-15;SRC-P2B-16</x:t>
        </x:is>
      </x:c>
      <x:c r="J133" t="inlineStr">
        <x:is>
          <x:t xml:space="preserve">S1</x:t>
        </x:is>
      </x:c>
      <x:c r="K133" t="inlineStr">
        <x:is>
          <x:t xml:space="preserve">不适用</x:t>
        </x:is>
      </x:c>
      <x:c r="L133" t="inlineStr">
        <x:is>
          <x:t xml:space="preserve">已证实</x:t>
        </x:is>
      </x:c>
      <x:c r="M133" t="inlineStr">
        <x:is>
          <x:t xml:space="preserve">年份/方向/计划口径须再核对；仅作为评分候选</x:t>
        </x:is>
      </x:c>
      <x:c r="N133" t="inlineStr">
        <x:is>
          <x:t xml:space="preserve">待人工评价</x:t>
        </x:is>
      </x:c>
    </x:row>
    <x:row r="134">
      <x:c r="A134" t="inlineStr">
        <x:is>
          <x:t xml:space="preserve">P06</x:t>
        </x:is>
      </x:c>
      <x:c r="B134" t="inlineStr">
        <x:is>
          <x:t xml:space="preserve">合肥工业大学</x:t>
        </x:is>
      </x:c>
      <x:c r="C134" t="inlineStr">
        <x:is>
          <x:t xml:space="preserve">005</x:t>
        </x:is>
      </x:c>
      <x:c r="D134" t="inlineStr">
        <x:is>
          <x:t xml:space="preserve">085410</x:t>
        </x:is>
      </x:c>
      <x:c r="E134" t="inlineStr">
        <x:is>
          <x:t xml:space="preserve">名额口径可靠性</x:t>
        </x:is>
      </x:c>
      <x:c r="F134" t="inlineStr">
        <x:is>
          <x:t xml:space="preserve">2D风险</x:t>
        </x:is>
      </x:c>
      <x:c r="G134" t="inlineStr">
        <x:is>
          <x:t xml:space="preserve">初试科目变化</x:t>
        </x:is>
      </x:c>
      <x:c r="H134" t="inlineStr">
        <x:is>
          <x:t xml:space="preserve">初试:101/204/302/408计算机学科专业基础;复试:0052计算机科学与技术学科专业综合</x:t>
        </x:is>
      </x:c>
      <x:c r="I134" t="inlineStr">
        <x:is>
          <x:t xml:space="preserve">S-HFUT-M3</x:t>
        </x:is>
      </x:c>
      <x:c r="J134" t="inlineStr">
        <x:is>
          <x:t xml:space="preserve">S1</x:t>
        </x:is>
      </x:c>
      <x:c r="K134" t="inlineStr">
        <x:is>
          <x:t xml:space="preserve">不适用</x:t>
        </x:is>
      </x:c>
      <x:c r="L134" t="inlineStr">
        <x:is>
          <x:t xml:space="preserve">已证实</x:t>
        </x:is>
      </x:c>
      <x:c r="M134" t="inlineStr">
        <x:is>
          <x:t xml:space="preserve">年份/方向/计划口径须再核对；仅作为评分候选</x:t>
        </x:is>
      </x:c>
      <x:c r="N134" t="inlineStr">
        <x:is>
          <x:t xml:space="preserve">待人工评价</x:t>
        </x:is>
      </x:c>
    </x:row>
    <x:row r="135">
      <x:c r="A135" t="inlineStr">
        <x:is>
          <x:t xml:space="preserve">P06</x:t>
        </x:is>
      </x:c>
      <x:c r="B135" t="inlineStr">
        <x:is>
          <x:t xml:space="preserve">合肥工业大学</x:t>
        </x:is>
      </x:c>
      <x:c r="C135" t="inlineStr">
        <x:is>
          <x:t xml:space="preserve">005</x:t>
        </x:is>
      </x:c>
      <x:c r="D135" t="inlineStr">
        <x:is>
          <x:t xml:space="preserve">085410</x:t>
        </x:is>
      </x:c>
      <x:c r="E135" t="inlineStr">
        <x:is>
          <x:t xml:space="preserve">名额口径可靠性</x:t>
        </x:is>
      </x:c>
      <x:c r="F135" t="inlineStr">
        <x:is>
          <x:t xml:space="preserve">2D风险</x:t>
        </x:is>
      </x:c>
      <x:c r="G135" t="inlineStr">
        <x:is>
          <x:t xml:space="preserve">统考计划年度变化</x:t>
        </x:is>
      </x:c>
      <x:c r="H135" t="inlineStr">
        <x:is>
          <x:t xml:space="preserve">复试阶段统考计划(已扣推免): 2024=23 → 2025=26 → 2026=46</x:t>
        </x:is>
      </x:c>
      <x:c r="I135" t="inlineStr">
        <x:is>
          <x:t xml:space="preserve">SRC-P2B-14;SRC-P2B-15;SRC-P2B-16</x:t>
        </x:is>
      </x:c>
      <x:c r="J135" t="inlineStr">
        <x:is>
          <x:t xml:space="preserve">S1</x:t>
        </x:is>
      </x:c>
      <x:c r="K135" t="inlineStr">
        <x:is>
          <x:t xml:space="preserve">不适用</x:t>
        </x:is>
      </x:c>
      <x:c r="L135" t="inlineStr">
        <x:is>
          <x:t xml:space="preserve">已证实</x:t>
        </x:is>
      </x:c>
      <x:c r="M135" t="inlineStr">
        <x:is>
          <x:t xml:space="preserve">年份/方向/计划口径须再核对；仅作为评分候选</x:t>
        </x:is>
      </x:c>
      <x:c r="N135" t="inlineStr">
        <x:is>
          <x:t xml:space="preserve">待人工评价</x:t>
        </x:is>
      </x:c>
    </x:row>
    <x:row r="136">
      <x:c r="A136" t="inlineStr">
        <x:is>
          <x:t xml:space="preserve">P06</x:t>
        </x:is>
      </x:c>
      <x:c r="B136" t="inlineStr">
        <x:is>
          <x:t xml:space="preserve">合肥工业大学</x:t>
        </x:is>
      </x:c>
      <x:c r="C136" t="inlineStr">
        <x:is>
          <x:t xml:space="preserve">005</x:t>
        </x:is>
      </x:c>
      <x:c r="D136" t="inlineStr">
        <x:is>
          <x:t xml:space="preserve">085410</x:t>
        </x:is>
      </x:c>
      <x:c r="E136" t="inlineStr">
        <x:is>
          <x:t xml:space="preserve">初复试科目稳定性</x:t>
        </x:is>
      </x:c>
      <x:c r="F136" t="inlineStr">
        <x:is>
          <x:t xml:space="preserve">2D风险</x:t>
        </x:is>
      </x:c>
      <x:c r="G136" t="inlineStr">
        <x:is>
          <x:t xml:space="preserve">初试科目变化</x:t>
        </x:is>
      </x:c>
      <x:c r="H136" t="inlineStr">
        <x:is>
          <x:t xml:space="preserve">初试:101/204/302/408计算机学科专业基础;复试:0052计算机科学与技术学科专业综合</x:t>
        </x:is>
      </x:c>
      <x:c r="I136" t="inlineStr">
        <x:is>
          <x:t xml:space="preserve">S-HFUT-M3</x:t>
        </x:is>
      </x:c>
      <x:c r="J136" t="inlineStr">
        <x:is>
          <x:t xml:space="preserve">S1</x:t>
        </x:is>
      </x:c>
      <x:c r="K136" t="inlineStr">
        <x:is>
          <x:t xml:space="preserve">不适用</x:t>
        </x:is>
      </x:c>
      <x:c r="L136" t="inlineStr">
        <x:is>
          <x:t xml:space="preserve">已证实</x:t>
        </x:is>
      </x:c>
      <x:c r="M136" t="inlineStr">
        <x:is>
          <x:t xml:space="preserve">年份/方向/计划口径须再核对；仅作为评分候选</x:t>
        </x:is>
      </x:c>
      <x:c r="N136" t="inlineStr">
        <x:is>
          <x:t xml:space="preserve">待人工评价</x:t>
        </x:is>
      </x:c>
    </x:row>
    <x:row r="137">
      <x:c r="A137" t="inlineStr">
        <x:is>
          <x:t xml:space="preserve">P06</x:t>
        </x:is>
      </x:c>
      <x:c r="B137" t="inlineStr">
        <x:is>
          <x:t xml:space="preserve">合肥工业大学</x:t>
        </x:is>
      </x:c>
      <x:c r="C137" t="inlineStr">
        <x:is>
          <x:t xml:space="preserve">005</x:t>
        </x:is>
      </x:c>
      <x:c r="D137" t="inlineStr">
        <x:is>
          <x:t xml:space="preserve">085410</x:t>
        </x:is>
      </x:c>
      <x:c r="E137" t="inlineStr">
        <x:is>
          <x:t xml:space="preserve">初复试科目稳定性</x:t>
        </x:is>
      </x:c>
      <x:c r="F137" t="inlineStr">
        <x:is>
          <x:t xml:space="preserve">2D风险</x:t>
        </x:is>
      </x:c>
      <x:c r="G137" t="inlineStr">
        <x:is>
          <x:t xml:space="preserve">统考计划年度变化</x:t>
        </x:is>
      </x:c>
      <x:c r="H137" t="inlineStr">
        <x:is>
          <x:t xml:space="preserve">复试阶段统考计划(已扣推免): 2024=23 → 2025=26 → 2026=46</x:t>
        </x:is>
      </x:c>
      <x:c r="I137" t="inlineStr">
        <x:is>
          <x:t xml:space="preserve">SRC-P2B-14;SRC-P2B-15;SRC-P2B-16</x:t>
        </x:is>
      </x:c>
      <x:c r="J137" t="inlineStr">
        <x:is>
          <x:t xml:space="preserve">S1</x:t>
        </x:is>
      </x:c>
      <x:c r="K137" t="inlineStr">
        <x:is>
          <x:t xml:space="preserve">不适用</x:t>
        </x:is>
      </x:c>
      <x:c r="L137" t="inlineStr">
        <x:is>
          <x:t xml:space="preserve">已证实</x:t>
        </x:is>
      </x:c>
      <x:c r="M137" t="inlineStr">
        <x:is>
          <x:t xml:space="preserve">年份/方向/计划口径须再核对；仅作为评分候选</x:t>
        </x:is>
      </x:c>
      <x:c r="N137" t="inlineStr">
        <x:is>
          <x:t xml:space="preserve">待人工评价</x:t>
        </x:is>
      </x:c>
    </x:row>
    <x:row r="138">
      <x:c r="A138" t="inlineStr">
        <x:is>
          <x:t xml:space="preserve">P06</x:t>
        </x:is>
      </x:c>
      <x:c r="B138" t="inlineStr">
        <x:is>
          <x:t xml:space="preserve">合肥工业大学</x:t>
        </x:is>
      </x:c>
      <x:c r="C138" t="inlineStr">
        <x:is>
          <x:t xml:space="preserve">005</x:t>
        </x:is>
      </x:c>
      <x:c r="D138" t="inlineStr">
        <x:is>
          <x:t xml:space="preserve">085410</x:t>
        </x:is>
      </x:c>
      <x:c r="E138" t="inlineStr">
        <x:is>
          <x:t xml:space="preserve">复试规则可预期性</x:t>
        </x:is>
      </x:c>
      <x:c r="F138" t="inlineStr">
        <x:is>
          <x:t xml:space="preserve">2D风险</x:t>
        </x:is>
      </x:c>
      <x:c r="G138" t="inlineStr">
        <x:is>
          <x:t xml:space="preserve">初试科目变化</x:t>
        </x:is>
      </x:c>
      <x:c r="H138" t="inlineStr">
        <x:is>
          <x:t xml:space="preserve">初试:101/204/302/408计算机学科专业基础;复试:0052计算机科学与技术学科专业综合</x:t>
        </x:is>
      </x:c>
      <x:c r="I138" t="inlineStr">
        <x:is>
          <x:t xml:space="preserve">S-HFUT-M3</x:t>
        </x:is>
      </x:c>
      <x:c r="J138" t="inlineStr">
        <x:is>
          <x:t xml:space="preserve">S1</x:t>
        </x:is>
      </x:c>
      <x:c r="K138" t="inlineStr">
        <x:is>
          <x:t xml:space="preserve">不适用</x:t>
        </x:is>
      </x:c>
      <x:c r="L138" t="inlineStr">
        <x:is>
          <x:t xml:space="preserve">已证实</x:t>
        </x:is>
      </x:c>
      <x:c r="M138" t="inlineStr">
        <x:is>
          <x:t xml:space="preserve">年份/方向/计划口径须再核对；仅作为评分候选</x:t>
        </x:is>
      </x:c>
      <x:c r="N138" t="inlineStr">
        <x:is>
          <x:t xml:space="preserve">待人工评价</x:t>
        </x:is>
      </x:c>
    </x:row>
    <x:row r="139">
      <x:c r="A139" t="inlineStr">
        <x:is>
          <x:t xml:space="preserve">P06</x:t>
        </x:is>
      </x:c>
      <x:c r="B139" t="inlineStr">
        <x:is>
          <x:t xml:space="preserve">合肥工业大学</x:t>
        </x:is>
      </x:c>
      <x:c r="C139" t="inlineStr">
        <x:is>
          <x:t xml:space="preserve">005</x:t>
        </x:is>
      </x:c>
      <x:c r="D139" t="inlineStr">
        <x:is>
          <x:t xml:space="preserve">085410</x:t>
        </x:is>
      </x:c>
      <x:c r="E139" t="inlineStr">
        <x:is>
          <x:t xml:space="preserve">复试规则可预期性</x:t>
        </x:is>
      </x:c>
      <x:c r="F139" t="inlineStr">
        <x:is>
          <x:t xml:space="preserve">2D风险</x:t>
        </x:is>
      </x:c>
      <x:c r="G139" t="inlineStr">
        <x:is>
          <x:t xml:space="preserve">统考计划年度变化</x:t>
        </x:is>
      </x:c>
      <x:c r="H139" t="inlineStr">
        <x:is>
          <x:t xml:space="preserve">复试阶段统考计划(已扣推免): 2024=23 → 2025=26 → 2026=46</x:t>
        </x:is>
      </x:c>
      <x:c r="I139" t="inlineStr">
        <x:is>
          <x:t xml:space="preserve">SRC-P2B-14;SRC-P2B-15;SRC-P2B-16</x:t>
        </x:is>
      </x:c>
      <x:c r="J139" t="inlineStr">
        <x:is>
          <x:t xml:space="preserve">S1</x:t>
        </x:is>
      </x:c>
      <x:c r="K139" t="inlineStr">
        <x:is>
          <x:t xml:space="preserve">不适用</x:t>
        </x:is>
      </x:c>
      <x:c r="L139" t="inlineStr">
        <x:is>
          <x:t xml:space="preserve">已证实</x:t>
        </x:is>
      </x:c>
      <x:c r="M139" t="inlineStr">
        <x:is>
          <x:t xml:space="preserve">年份/方向/计划口径须再核对；仅作为评分候选</x:t>
        </x:is>
      </x:c>
      <x:c r="N139" t="inlineStr">
        <x:is>
          <x:t xml:space="preserve">待人工评价</x:t>
        </x:is>
      </x:c>
    </x:row>
    <x:row r="140">
      <x:c r="A140" t="inlineStr">
        <x:is>
          <x:t xml:space="preserve">P06</x:t>
        </x:is>
      </x:c>
      <x:c r="B140" t="inlineStr">
        <x:is>
          <x:t xml:space="preserve">合肥工业大学</x:t>
        </x:is>
      </x:c>
      <x:c r="C140" t="inlineStr">
        <x:is>
          <x:t xml:space="preserve">005</x:t>
        </x:is>
      </x:c>
      <x:c r="D140" t="inlineStr">
        <x:is>
          <x:t xml:space="preserve">085410</x:t>
        </x:is>
      </x:c>
      <x:c r="E140" t="inlineStr">
        <x:is>
          <x:t xml:space="preserve">导师招生路径证据</x:t>
        </x:is>
      </x:c>
      <x:c r="F140" t="inlineStr">
        <x:is>
          <x:t xml:space="preserve">2D资源</x:t>
        </x:is>
      </x:c>
      <x:c r="G140" t="inlineStr">
        <x:is>
          <x:t xml:space="preserve">D3-硕士培养可进入性</x:t>
        </x:is>
      </x:c>
      <x:c r="H140" t="inlineStr">
        <x:is>
          <x:t xml:space="preserve">'小米工程师训练营'(S2,院长洪日昌): 面向本科大三与研究生二年级,12天理论+3天实践,通过考核获提前批录用;已两期700余人参与。</x:t>
        </x:is>
      </x:c>
      <x:c r="I140" t="inlineStr">
        <x:is>
          <x:t xml:space="preserve">S-HFUT-P1</x:t>
        </x:is>
      </x:c>
      <x:c r="J140" t="inlineStr">
        <x:is>
          <x:t xml:space="preserve">S2</x:t>
        </x:is>
      </x:c>
      <x:c r="K140" t="inlineStr">
        <x:is>
          <x:t xml:space="preserve">P1</x:t>
        </x:is>
      </x:c>
      <x:c r="L140" t="inlineStr">
        <x:is>
          <x:t xml:space="preserve">已证实</x:t>
        </x:is>
      </x:c>
      <x:c r="M140" t="inlineStr">
        <x:is>
          <x:t xml:space="preserve">仅学院/专业级关联；未证该方向或导师可进入；不得自动打分</x:t>
        </x:is>
      </x:c>
      <x:c r="N140" t="inlineStr">
        <x:is>
          <x:t xml:space="preserve">待人工评价</x:t>
        </x:is>
      </x:c>
    </x:row>
    <x:row r="141">
      <x:c r="A141" t="inlineStr">
        <x:is>
          <x:t xml:space="preserve">P06</x:t>
        </x:is>
      </x:c>
      <x:c r="B141" t="inlineStr">
        <x:is>
          <x:t xml:space="preserve">合肥工业大学</x:t>
        </x:is>
      </x:c>
      <x:c r="C141" t="inlineStr">
        <x:is>
          <x:t xml:space="preserve">005</x:t>
        </x:is>
      </x:c>
      <x:c r="D141" t="inlineStr">
        <x:is>
          <x:t xml:space="preserve">085410</x:t>
        </x:is>
      </x:c>
      <x:c r="E141" t="inlineStr">
        <x:is>
          <x:t xml:space="preserve">导师招生路径证据</x:t>
        </x:is>
      </x:c>
      <x:c r="F141" t="inlineStr">
        <x:is>
          <x:t xml:space="preserve">2D资源</x:t>
        </x:is>
      </x:c>
      <x:c r="G141" t="inlineStr">
        <x:is>
          <x:t xml:space="preserve">D3-硕士培养可进入性</x:t>
        </x:is>
      </x:c>
      <x:c r="H141" t="inlineStr">
        <x:is>
          <x:t xml:space="preserve">合工大'双导师制'(S2/媒体): 每年划拨500个硕士研究生名额给智能院双导师制培养;学生有校内+企业双导师。</x:t>
        </x:is>
      </x:c>
      <x:c r="I141" t="inlineStr">
        <x:is>
          <x:t xml:space="preserve">S-HFUT-P2</x:t>
        </x:is>
      </x:c>
      <x:c r="J141" t="inlineStr">
        <x:is>
          <x:t xml:space="preserve">S2/S4</x:t>
        </x:is>
      </x:c>
      <x:c r="K141" t="inlineStr">
        <x:is>
          <x:t xml:space="preserve">P1</x:t>
        </x:is>
      </x:c>
      <x:c r="L141" t="inlineStr">
        <x:is>
          <x:t xml:space="preserve">已证实(机制)</x:t>
        </x:is>
      </x:c>
      <x:c r="M141" t="inlineStr">
        <x:is>
          <x:t xml:space="preserve">仅学院/专业级关联；未证该方向或导师可进入；不得自动打分</x:t>
        </x:is>
      </x:c>
      <x:c r="N141" t="inlineStr">
        <x:is>
          <x:t xml:space="preserve">待人工评价</x:t>
        </x:is>
      </x:c>
    </x:row>
    <x:row r="142">
      <x:c r="A142" t="inlineStr">
        <x:is>
          <x:t xml:space="preserve">P06</x:t>
        </x:is>
      </x:c>
      <x:c r="B142" t="inlineStr">
        <x:is>
          <x:t xml:space="preserve">合肥工业大学</x:t>
        </x:is>
      </x:c>
      <x:c r="C142" t="inlineStr">
        <x:is>
          <x:t xml:space="preserve">005</x:t>
        </x:is>
      </x:c>
      <x:c r="D142" t="inlineStr">
        <x:is>
          <x:t xml:space="preserve">085410</x:t>
        </x:is>
      </x:c>
      <x:c r="E142" t="inlineStr">
        <x:is>
          <x:t xml:space="preserve">导师招生路径证据</x:t>
        </x:is>
      </x:c>
      <x:c r="F142" t="inlineStr">
        <x:is>
          <x:t xml:space="preserve">2D风险</x:t>
        </x:is>
      </x:c>
      <x:c r="G142" t="inlineStr">
        <x:is>
          <x:t xml:space="preserve">初试科目变化</x:t>
        </x:is>
      </x:c>
      <x:c r="H142" t="inlineStr">
        <x:is>
          <x:t xml:space="preserve">初试:101/204/302/408计算机学科专业基础;复试:0052计算机科学与技术学科专业综合</x:t>
        </x:is>
      </x:c>
      <x:c r="I142" t="inlineStr">
        <x:is>
          <x:t xml:space="preserve">S-HFUT-M3</x:t>
        </x:is>
      </x:c>
      <x:c r="J142" t="inlineStr">
        <x:is>
          <x:t xml:space="preserve">S1</x:t>
        </x:is>
      </x:c>
      <x:c r="K142" t="inlineStr">
        <x:is>
          <x:t xml:space="preserve">不适用</x:t>
        </x:is>
      </x:c>
      <x:c r="L142" t="inlineStr">
        <x:is>
          <x:t xml:space="preserve">已证实</x:t>
        </x:is>
      </x:c>
      <x:c r="M142" t="inlineStr">
        <x:is>
          <x:t xml:space="preserve">年份/方向/计划口径须再核对；仅作为评分候选</x:t>
        </x:is>
      </x:c>
      <x:c r="N142" t="inlineStr">
        <x:is>
          <x:t xml:space="preserve">待人工评价</x:t>
        </x:is>
      </x:c>
    </x:row>
    <x:row r="143">
      <x:c r="A143" t="inlineStr">
        <x:is>
          <x:t xml:space="preserve">P06</x:t>
        </x:is>
      </x:c>
      <x:c r="B143" t="inlineStr">
        <x:is>
          <x:t xml:space="preserve">合肥工业大学</x:t>
        </x:is>
      </x:c>
      <x:c r="C143" t="inlineStr">
        <x:is>
          <x:t xml:space="preserve">005</x:t>
        </x:is>
      </x:c>
      <x:c r="D143" t="inlineStr">
        <x:is>
          <x:t xml:space="preserve">085410</x:t>
        </x:is>
      </x:c>
      <x:c r="E143" t="inlineStr">
        <x:is>
          <x:t xml:space="preserve">导师招生路径证据</x:t>
        </x:is>
      </x:c>
      <x:c r="F143" t="inlineStr">
        <x:is>
          <x:t xml:space="preserve">2D风险</x:t>
        </x:is>
      </x:c>
      <x:c r="G143" t="inlineStr">
        <x:is>
          <x:t xml:space="preserve">统考计划年度变化</x:t>
        </x:is>
      </x:c>
      <x:c r="H143" t="inlineStr">
        <x:is>
          <x:t xml:space="preserve">复试阶段统考计划(已扣推免): 2024=23 → 2025=26 → 2026=46</x:t>
        </x:is>
      </x:c>
      <x:c r="I143" t="inlineStr">
        <x:is>
          <x:t xml:space="preserve">SRC-P2B-14;SRC-P2B-15;SRC-P2B-16</x:t>
        </x:is>
      </x:c>
      <x:c r="J143" t="inlineStr">
        <x:is>
          <x:t xml:space="preserve">S1</x:t>
        </x:is>
      </x:c>
      <x:c r="K143" t="inlineStr">
        <x:is>
          <x:t xml:space="preserve">不适用</x:t>
        </x:is>
      </x:c>
      <x:c r="L143" t="inlineStr">
        <x:is>
          <x:t xml:space="preserve">已证实</x:t>
        </x:is>
      </x:c>
      <x:c r="M143" t="inlineStr">
        <x:is>
          <x:t xml:space="preserve">年份/方向/计划口径须再核对；仅作为评分候选</x:t>
        </x:is>
      </x:c>
      <x:c r="N143" t="inlineStr">
        <x:is>
          <x:t xml:space="preserve">待人工评价</x:t>
        </x:is>
      </x:c>
    </x:row>
    <x:row r="144">
      <x:c r="A144" t="inlineStr">
        <x:is>
          <x:t xml:space="preserve">P06</x:t>
        </x:is>
      </x:c>
      <x:c r="B144" t="inlineStr">
        <x:is>
          <x:t xml:space="preserve">合肥工业大学</x:t>
        </x:is>
      </x:c>
      <x:c r="C144" t="inlineStr">
        <x:is>
          <x:t xml:space="preserve">005</x:t>
        </x:is>
      </x:c>
      <x:c r="D144" t="inlineStr">
        <x:is>
          <x:t xml:space="preserve">085410</x:t>
        </x:is>
      </x:c>
      <x:c r="E144" t="inlineStr">
        <x:is>
          <x:t xml:space="preserve">实践机制适用性</x:t>
        </x:is>
      </x:c>
      <x:c r="F144" t="inlineStr">
        <x:is>
          <x:t xml:space="preserve">2D资源</x:t>
        </x:is>
      </x:c>
      <x:c r="G144" t="inlineStr">
        <x:is>
          <x:t xml:space="preserve">D3-硕士培养可进入性</x:t>
        </x:is>
      </x:c>
      <x:c r="H144" t="inlineStr">
        <x:is>
          <x:t xml:space="preserve">'小米工程师训练营'(S2,院长洪日昌): 面向本科大三与研究生二年级,12天理论+3天实践,通过考核获提前批录用;已两期700余人参与。</x:t>
        </x:is>
      </x:c>
      <x:c r="I144" t="inlineStr">
        <x:is>
          <x:t xml:space="preserve">S-HFUT-P1</x:t>
        </x:is>
      </x:c>
      <x:c r="J144" t="inlineStr">
        <x:is>
          <x:t xml:space="preserve">S2</x:t>
        </x:is>
      </x:c>
      <x:c r="K144" t="inlineStr">
        <x:is>
          <x:t xml:space="preserve">P1</x:t>
        </x:is>
      </x:c>
      <x:c r="L144" t="inlineStr">
        <x:is>
          <x:t xml:space="preserve">已证实</x:t>
        </x:is>
      </x:c>
      <x:c r="M144" t="inlineStr">
        <x:is>
          <x:t xml:space="preserve">仅学院/专业级关联；未证该方向或导师可进入；不得自动打分</x:t>
        </x:is>
      </x:c>
      <x:c r="N144" t="inlineStr">
        <x:is>
          <x:t xml:space="preserve">待人工评价</x:t>
        </x:is>
      </x:c>
    </x:row>
    <x:row r="145">
      <x:c r="A145" t="inlineStr">
        <x:is>
          <x:t xml:space="preserve">P06</x:t>
        </x:is>
      </x:c>
      <x:c r="B145" t="inlineStr">
        <x:is>
          <x:t xml:space="preserve">合肥工业大学</x:t>
        </x:is>
      </x:c>
      <x:c r="C145" t="inlineStr">
        <x:is>
          <x:t xml:space="preserve">005</x:t>
        </x:is>
      </x:c>
      <x:c r="D145" t="inlineStr">
        <x:is>
          <x:t xml:space="preserve">085410</x:t>
        </x:is>
      </x:c>
      <x:c r="E145" t="inlineStr">
        <x:is>
          <x:t xml:space="preserve">实践机制适用性</x:t>
        </x:is>
      </x:c>
      <x:c r="F145" t="inlineStr">
        <x:is>
          <x:t xml:space="preserve">2D资源</x:t>
        </x:is>
      </x:c>
      <x:c r="G145" t="inlineStr">
        <x:is>
          <x:t xml:space="preserve">D3-硕士培养可进入性</x:t>
        </x:is>
      </x:c>
      <x:c r="H145" t="inlineStr">
        <x:is>
          <x:t xml:space="preserve">合工大'双导师制'(S2/媒体): 每年划拨500个硕士研究生名额给智能院双导师制培养;学生有校内+企业双导师。</x:t>
        </x:is>
      </x:c>
      <x:c r="I145" t="inlineStr">
        <x:is>
          <x:t xml:space="preserve">S-HFUT-P2</x:t>
        </x:is>
      </x:c>
      <x:c r="J145" t="inlineStr">
        <x:is>
          <x:t xml:space="preserve">S2/S4</x:t>
        </x:is>
      </x:c>
      <x:c r="K145" t="inlineStr">
        <x:is>
          <x:t xml:space="preserve">P1</x:t>
        </x:is>
      </x:c>
      <x:c r="L145" t="inlineStr">
        <x:is>
          <x:t xml:space="preserve">已证实(机制)</x:t>
        </x:is>
      </x:c>
      <x:c r="M145" t="inlineStr">
        <x:is>
          <x:t xml:space="preserve">仅学院/专业级关联；未证该方向或导师可进入；不得自动打分</x:t>
        </x:is>
      </x:c>
      <x:c r="N145" t="inlineStr">
        <x:is>
          <x:t xml:space="preserve">待人工评价</x:t>
        </x:is>
      </x:c>
    </x:row>
    <x:row r="146">
      <x:c r="A146" t="inlineStr">
        <x:is>
          <x:t xml:space="preserve">P06</x:t>
        </x:is>
      </x:c>
      <x:c r="B146" t="inlineStr">
        <x:is>
          <x:t xml:space="preserve">合肥工业大学</x:t>
        </x:is>
      </x:c>
      <x:c r="C146" t="inlineStr">
        <x:is>
          <x:t xml:space="preserve">005</x:t>
        </x:is>
      </x:c>
      <x:c r="D146" t="inlineStr">
        <x:is>
          <x:t xml:space="preserve">085410</x:t>
        </x:is>
      </x:c>
      <x:c r="E146" t="inlineStr">
        <x:is>
          <x:t xml:space="preserve">平台资源可进入性</x:t>
        </x:is>
      </x:c>
      <x:c r="F146" t="inlineStr">
        <x:is>
          <x:t xml:space="preserve">2D资源</x:t>
        </x:is>
      </x:c>
      <x:c r="G146" t="inlineStr">
        <x:is>
          <x:t xml:space="preserve">D2-科研与工程资源</x:t>
        </x:is>
      </x:c>
      <x:c r="H146" t="inlineStr">
        <x:is>
          <x:t xml:space="preserve">高性能计算平台(CPU超算+GPU智算);大数据知识工程教育部重点实验室;具身智能绳驱机器人实验室(含人形机器人平台);古月居具身智能联合创新实验室;乐聚-合工大机器人俱乐部。</x:t>
        </x:is>
      </x:c>
      <x:c r="I146" t="inlineStr">
        <x:is>
          <x:t xml:space="preserve">HFUT-S10;HFUT-S9;HFUT-S7;HFUT-S13;HFUT-S14;HFUT-S5</x:t>
        </x:is>
      </x:c>
      <x:c r="J146" t="inlineStr">
        <x:is>
          <x:t xml:space="preserve">S2</x:t>
        </x:is>
      </x:c>
      <x:c r="K146" t="inlineStr">
        <x:is>
          <x:t xml:space="preserve">P3</x:t>
        </x:is>
      </x:c>
      <x:c r="L146" t="inlineStr">
        <x:is>
          <x:t xml:space="preserve">已证实(资源存在)</x:t>
        </x:is>
      </x:c>
      <x:c r="M146" t="inlineStr">
        <x:is>
          <x:t xml:space="preserve">仅学院/专业级关联；未证该方向或导师可进入；不得自动打分</x:t>
        </x:is>
      </x:c>
      <x:c r="N146" t="inlineStr">
        <x:is>
          <x:t xml:space="preserve">待人工评价</x:t>
        </x:is>
      </x:c>
    </x:row>
    <x:row r="147">
      <x:c r="A147" t="inlineStr">
        <x:is>
          <x:t xml:space="preserve">P06</x:t>
        </x:is>
      </x:c>
      <x:c r="B147" t="inlineStr">
        <x:is>
          <x:t xml:space="preserve">合肥工业大学</x:t>
        </x:is>
      </x:c>
      <x:c r="C147" t="inlineStr">
        <x:is>
          <x:t xml:space="preserve">005</x:t>
        </x:is>
      </x:c>
      <x:c r="D147" t="inlineStr">
        <x:is>
          <x:t xml:space="preserve">085410</x:t>
        </x:is>
      </x:c>
      <x:c r="E147" t="inlineStr">
        <x:is>
          <x:t xml:space="preserve">城市AI岗位生态</x:t>
        </x:is>
      </x:c>
      <x:c r="F147" t="inlineStr">
        <x:is>
          <x:t xml:space="preserve">2D资源</x:t>
        </x:is>
      </x:c>
      <x:c r="G147" t="inlineStr">
        <x:is>
          <x:t xml:space="preserve">D4-就业与产业连接</x:t>
        </x:is>
      </x:c>
      <x:c r="H147" t="inlineStr">
        <x:is>
          <x:t xml:space="preserve">合工大新闻网/人民日报(S2): '小米工程师训练营'结营学员中100余名毕业生签约小米、华为、美团等;学校与140家企业建联培基地、行业导师1300余人。</x:t>
        </x:is>
      </x:c>
      <x:c r="I147" t="inlineStr">
        <x:is>
          <x:t xml:space="preserve">S-HFUT-J1</x:t>
        </x:is>
      </x:c>
      <x:c r="J147" t="inlineStr">
        <x:is>
          <x:t xml:space="preserve">S2</x:t>
        </x:is>
      </x:c>
      <x:c r="K147" t="inlineStr">
        <x:is>
          <x:t xml:space="preserve">P2</x:t>
        </x:is>
      </x:c>
      <x:c r="L147" t="inlineStr">
        <x:is>
          <x:t xml:space="preserve">已证实</x:t>
        </x:is>
      </x:c>
      <x:c r="M147" t="inlineStr">
        <x:is>
          <x:t xml:space="preserve">仅学院/专业级关联；未证该方向或导师可进入；不得自动打分</x:t>
        </x:is>
      </x:c>
      <x:c r="N147" t="inlineStr">
        <x:is>
          <x:t xml:space="preserve">待人工评价</x:t>
        </x:is>
      </x:c>
    </x:row>
    <x:row r="148">
      <x:c r="A148" t="inlineStr">
        <x:is>
          <x:t xml:space="preserve">P06</x:t>
        </x:is>
      </x:c>
      <x:c r="B148" t="inlineStr">
        <x:is>
          <x:t xml:space="preserve">合肥工业大学</x:t>
        </x:is>
      </x:c>
      <x:c r="C148" t="inlineStr">
        <x:is>
          <x:t xml:space="preserve">005</x:t>
        </x:is>
      </x:c>
      <x:c r="D148" t="inlineStr">
        <x:is>
          <x:t xml:space="preserve">085410</x:t>
        </x:is>
      </x:c>
      <x:c r="E148" t="inlineStr">
        <x:is>
          <x:t xml:space="preserve">实习合作半径</x:t>
        </x:is>
      </x:c>
      <x:c r="F148" t="inlineStr">
        <x:is>
          <x:t xml:space="preserve">2D资源</x:t>
        </x:is>
      </x:c>
      <x:c r="G148" t="inlineStr">
        <x:is>
          <x:t xml:space="preserve">D4-就业与产业连接</x:t>
        </x:is>
      </x:c>
      <x:c r="H148" t="inlineStr">
        <x:is>
          <x:t xml:space="preserve">合工大新闻网/人民日报(S2): '小米工程师训练营'结营学员中100余名毕业生签约小米、华为、美团等;学校与140家企业建联培基地、行业导师1300余人。</x:t>
        </x:is>
      </x:c>
      <x:c r="I148" t="inlineStr">
        <x:is>
          <x:t xml:space="preserve">S-HFUT-J1</x:t>
        </x:is>
      </x:c>
      <x:c r="J148" t="inlineStr">
        <x:is>
          <x:t xml:space="preserve">S2</x:t>
        </x:is>
      </x:c>
      <x:c r="K148" t="inlineStr">
        <x:is>
          <x:t xml:space="preserve">P2</x:t>
        </x:is>
      </x:c>
      <x:c r="L148" t="inlineStr">
        <x:is>
          <x:t xml:space="preserve">已证实</x:t>
        </x:is>
      </x:c>
      <x:c r="M148" t="inlineStr">
        <x:is>
          <x:t xml:space="preserve">仅学院/专业级关联；未证该方向或导师可进入；不得自动打分</x:t>
        </x:is>
      </x:c>
      <x:c r="N148" t="inlineStr">
        <x:is>
          <x:t xml:space="preserve">待人工评价</x:t>
        </x:is>
      </x:c>
    </x:row>
    <x:row r="149">
      <x:c r="A149" t="inlineStr">
        <x:is>
          <x:t xml:space="preserve">P06</x:t>
        </x:is>
      </x:c>
      <x:c r="B149" t="inlineStr">
        <x:is>
          <x:t xml:space="preserve">合肥工业大学</x:t>
        </x:is>
      </x:c>
      <x:c r="C149" t="inlineStr">
        <x:is>
          <x:t xml:space="preserve">005</x:t>
        </x:is>
      </x:c>
      <x:c r="D149" t="inlineStr">
        <x:is>
          <x:t xml:space="preserve">085410</x:t>
        </x:is>
      </x:c>
      <x:c r="E149" t="inlineStr">
        <x:is>
          <x:t xml:space="preserve">学制与企业实践</x:t>
        </x:is>
      </x:c>
      <x:c r="F149" t="inlineStr">
        <x:is>
          <x:t xml:space="preserve">2D资源</x:t>
        </x:is>
      </x:c>
      <x:c r="G149" t="inlineStr">
        <x:is>
          <x:t xml:space="preserve">D3-硕士培养可进入性</x:t>
        </x:is>
      </x:c>
      <x:c r="H149" t="inlineStr">
        <x:is>
          <x:t xml:space="preserve">'小米工程师训练营'(S2,院长洪日昌): 面向本科大三与研究生二年级,12天理论+3天实践,通过考核获提前批录用;已两期700余人参与。</x:t>
        </x:is>
      </x:c>
      <x:c r="I149" t="inlineStr">
        <x:is>
          <x:t xml:space="preserve">S-HFUT-P1</x:t>
        </x:is>
      </x:c>
      <x:c r="J149" t="inlineStr">
        <x:is>
          <x:t xml:space="preserve">S2</x:t>
        </x:is>
      </x:c>
      <x:c r="K149" t="inlineStr">
        <x:is>
          <x:t xml:space="preserve">P1</x:t>
        </x:is>
      </x:c>
      <x:c r="L149" t="inlineStr">
        <x:is>
          <x:t xml:space="preserve">已证实</x:t>
        </x:is>
      </x:c>
      <x:c r="M149" t="inlineStr">
        <x:is>
          <x:t xml:space="preserve">仅学院/专业级关联；未证该方向或导师可进入；不得自动打分</x:t>
        </x:is>
      </x:c>
      <x:c r="N149" t="inlineStr">
        <x:is>
          <x:t xml:space="preserve">待人工评价</x:t>
        </x:is>
      </x:c>
    </x:row>
    <x:row r="150">
      <x:c r="A150" t="inlineStr">
        <x:is>
          <x:t xml:space="preserve">P06</x:t>
        </x:is>
      </x:c>
      <x:c r="B150" t="inlineStr">
        <x:is>
          <x:t xml:space="preserve">合肥工业大学</x:t>
        </x:is>
      </x:c>
      <x:c r="C150" t="inlineStr">
        <x:is>
          <x:t xml:space="preserve">005</x:t>
        </x:is>
      </x:c>
      <x:c r="D150" t="inlineStr">
        <x:is>
          <x:t xml:space="preserve">085410</x:t>
        </x:is>
      </x:c>
      <x:c r="E150" t="inlineStr">
        <x:is>
          <x:t xml:space="preserve">学制与企业实践</x:t>
        </x:is>
      </x:c>
      <x:c r="F150" t="inlineStr">
        <x:is>
          <x:t xml:space="preserve">2D资源</x:t>
        </x:is>
      </x:c>
      <x:c r="G150" t="inlineStr">
        <x:is>
          <x:t xml:space="preserve">D3-硕士培养可进入性</x:t>
        </x:is>
      </x:c>
      <x:c r="H150" t="inlineStr">
        <x:is>
          <x:t xml:space="preserve">合工大'双导师制'(S2/媒体): 每年划拨500个硕士研究生名额给智能院双导师制培养;学生有校内+企业双导师。</x:t>
        </x:is>
      </x:c>
      <x:c r="I150" t="inlineStr">
        <x:is>
          <x:t xml:space="preserve">S-HFUT-P2</x:t>
        </x:is>
      </x:c>
      <x:c r="J150" t="inlineStr">
        <x:is>
          <x:t xml:space="preserve">S2/S4</x:t>
        </x:is>
      </x:c>
      <x:c r="K150" t="inlineStr">
        <x:is>
          <x:t xml:space="preserve">P1</x:t>
        </x:is>
      </x:c>
      <x:c r="L150" t="inlineStr">
        <x:is>
          <x:t xml:space="preserve">已证实(机制)</x:t>
        </x:is>
      </x:c>
      <x:c r="M150" t="inlineStr">
        <x:is>
          <x:t xml:space="preserve">仅学院/专业级关联；未证该方向或导师可进入；不得自动打分</x:t>
        </x:is>
      </x:c>
      <x:c r="N150" t="inlineStr">
        <x:is>
          <x:t xml:space="preserve">待人工评价</x:t>
        </x:is>
      </x:c>
    </x:row>
    <x:row r="151">
      <x:c r="A151" t="inlineStr">
        <x:is>
          <x:t xml:space="preserve">P07</x:t>
        </x:is>
      </x:c>
      <x:c r="B151" t="inlineStr">
        <x:is>
          <x:t xml:space="preserve">合肥工业大学</x:t>
        </x:is>
      </x:c>
      <x:c r="C151" t="inlineStr">
        <x:is>
          <x:t xml:space="preserve">021</x:t>
        </x:is>
      </x:c>
      <x:c r="D151" t="inlineStr">
        <x:is>
          <x:t xml:space="preserve">085410</x:t>
        </x:is>
      </x:c>
      <x:c r="E151" t="inlineStr">
        <x:is>
          <x:t xml:space="preserve">全日制统考路径明确性</x:t>
        </x:is>
      </x:c>
      <x:c r="F151" t="inlineStr">
        <x:is>
          <x:t xml:space="preserve">2D风险</x:t>
        </x:is>
      </x:c>
      <x:c r="G151" t="inlineStr">
        <x:is>
          <x:t xml:space="preserve">统考计划年度变化</x:t>
        </x:is>
      </x:c>
      <x:c r="H151" t="inlineStr">
        <x:is>
          <x:t xml:space="preserve">复试阶段统考:2025=5 → 2026=7;2027目录10(含推免6,含专项2)</x:t>
        </x:is>
      </x:c>
      <x:c r="I151" t="inlineStr">
        <x:is>
          <x:t xml:space="preserve">SRC-P2B-15;SRC-P2B-16;SRC-P2B-18</x:t>
        </x:is>
      </x:c>
      <x:c r="J151" t="inlineStr">
        <x:is>
          <x:t xml:space="preserve">S1</x:t>
        </x:is>
      </x:c>
      <x:c r="K151" t="inlineStr">
        <x:is>
          <x:t xml:space="preserve">不适用</x:t>
        </x:is>
      </x:c>
      <x:c r="L151" t="inlineStr">
        <x:is>
          <x:t xml:space="preserve">已证实</x:t>
        </x:is>
      </x:c>
      <x:c r="M151" t="inlineStr">
        <x:is>
          <x:t xml:space="preserve">年份/方向/计划口径须再核对；仅作为评分候选</x:t>
        </x:is>
      </x:c>
      <x:c r="N151" t="inlineStr">
        <x:is>
          <x:t xml:space="preserve">待人工评价</x:t>
        </x:is>
      </x:c>
    </x:row>
    <x:row r="152">
      <x:c r="A152" t="inlineStr">
        <x:is>
          <x:t xml:space="preserve">P07</x:t>
        </x:is>
      </x:c>
      <x:c r="B152" t="inlineStr">
        <x:is>
          <x:t xml:space="preserve">合肥工业大学</x:t>
        </x:is>
      </x:c>
      <x:c r="C152" t="inlineStr">
        <x:is>
          <x:t xml:space="preserve">021</x:t>
        </x:is>
      </x:c>
      <x:c r="D152" t="inlineStr">
        <x:is>
          <x:t xml:space="preserve">085410</x:t>
        </x:is>
      </x:c>
      <x:c r="E152" t="inlineStr">
        <x:is>
          <x:t xml:space="preserve">全日制统考路径明确性</x:t>
        </x:is>
      </x:c>
      <x:c r="F152" t="inlineStr">
        <x:is>
          <x:t xml:space="preserve">2D风险</x:t>
        </x:is>
      </x:c>
      <x:c r="G152" t="inlineStr">
        <x:is>
          <x:t xml:space="preserve">推免占比变化</x:t>
        </x:is>
      </x:c>
      <x:c r="H152" t="inlineStr">
        <x:is>
          <x:t xml:space="preserve">2027推免拟6(含专项2)/目录10 → 推免占比高</x:t>
        </x:is>
      </x:c>
      <x:c r="I152" t="inlineStr">
        <x:is>
          <x:t xml:space="preserve">SRC-P2B-18</x:t>
        </x:is>
      </x:c>
      <x:c r="J152" t="inlineStr">
        <x:is>
          <x:t xml:space="preserve">S1</x:t>
        </x:is>
      </x:c>
      <x:c r="K152" t="inlineStr">
        <x:is>
          <x:t xml:space="preserve">不适用</x:t>
        </x:is>
      </x:c>
      <x:c r="L152" t="inlineStr">
        <x:is>
          <x:t xml:space="preserve">已证实</x:t>
        </x:is>
      </x:c>
      <x:c r="M152" t="inlineStr">
        <x:is>
          <x:t xml:space="preserve">年份/方向/计划口径须再核对；仅作为评分候选</x:t>
        </x:is>
      </x:c>
      <x:c r="N152" t="inlineStr">
        <x:is>
          <x:t xml:space="preserve">待人工评价</x:t>
        </x:is>
      </x:c>
    </x:row>
    <x:row r="153">
      <x:c r="A153" t="inlineStr">
        <x:is>
          <x:t xml:space="preserve">P07</x:t>
        </x:is>
      </x:c>
      <x:c r="B153" t="inlineStr">
        <x:is>
          <x:t xml:space="preserve">合肥工业大学</x:t>
        </x:is>
      </x:c>
      <x:c r="C153" t="inlineStr">
        <x:is>
          <x:t xml:space="preserve">021</x:t>
        </x:is>
      </x:c>
      <x:c r="D153" t="inlineStr">
        <x:is>
          <x:t xml:space="preserve">085410</x:t>
        </x:is>
      </x:c>
      <x:c r="E153" t="inlineStr">
        <x:is>
          <x:t xml:space="preserve">名额口径可靠性</x:t>
        </x:is>
      </x:c>
      <x:c r="F153" t="inlineStr">
        <x:is>
          <x:t xml:space="preserve">2D风险</x:t>
        </x:is>
      </x:c>
      <x:c r="G153" t="inlineStr">
        <x:is>
          <x:t xml:space="preserve">统考计划年度变化</x:t>
        </x:is>
      </x:c>
      <x:c r="H153" t="inlineStr">
        <x:is>
          <x:t xml:space="preserve">复试阶段统考:2025=5 → 2026=7;2027目录10(含推免6,含专项2)</x:t>
        </x:is>
      </x:c>
      <x:c r="I153" t="inlineStr">
        <x:is>
          <x:t xml:space="preserve">SRC-P2B-15;SRC-P2B-16;SRC-P2B-18</x:t>
        </x:is>
      </x:c>
      <x:c r="J153" t="inlineStr">
        <x:is>
          <x:t xml:space="preserve">S1</x:t>
        </x:is>
      </x:c>
      <x:c r="K153" t="inlineStr">
        <x:is>
          <x:t xml:space="preserve">不适用</x:t>
        </x:is>
      </x:c>
      <x:c r="L153" t="inlineStr">
        <x:is>
          <x:t xml:space="preserve">已证实</x:t>
        </x:is>
      </x:c>
      <x:c r="M153" t="inlineStr">
        <x:is>
          <x:t xml:space="preserve">年份/方向/计划口径须再核对；仅作为评分候选</x:t>
        </x:is>
      </x:c>
      <x:c r="N153" t="inlineStr">
        <x:is>
          <x:t xml:space="preserve">待人工评价</x:t>
        </x:is>
      </x:c>
    </x:row>
    <x:row r="154">
      <x:c r="A154" t="inlineStr">
        <x:is>
          <x:t xml:space="preserve">P07</x:t>
        </x:is>
      </x:c>
      <x:c r="B154" t="inlineStr">
        <x:is>
          <x:t xml:space="preserve">合肥工业大学</x:t>
        </x:is>
      </x:c>
      <x:c r="C154" t="inlineStr">
        <x:is>
          <x:t xml:space="preserve">021</x:t>
        </x:is>
      </x:c>
      <x:c r="D154" t="inlineStr">
        <x:is>
          <x:t xml:space="preserve">085410</x:t>
        </x:is>
      </x:c>
      <x:c r="E154" t="inlineStr">
        <x:is>
          <x:t xml:space="preserve">名额口径可靠性</x:t>
        </x:is>
      </x:c>
      <x:c r="F154" t="inlineStr">
        <x:is>
          <x:t xml:space="preserve">2D风险</x:t>
        </x:is>
      </x:c>
      <x:c r="G154" t="inlineStr">
        <x:is>
          <x:t xml:space="preserve">推免占比变化</x:t>
        </x:is>
      </x:c>
      <x:c r="H154" t="inlineStr">
        <x:is>
          <x:t xml:space="preserve">2027推免拟6(含专项2)/目录10 → 推免占比高</x:t>
        </x:is>
      </x:c>
      <x:c r="I154" t="inlineStr">
        <x:is>
          <x:t xml:space="preserve">SRC-P2B-18</x:t>
        </x:is>
      </x:c>
      <x:c r="J154" t="inlineStr">
        <x:is>
          <x:t xml:space="preserve">S1</x:t>
        </x:is>
      </x:c>
      <x:c r="K154" t="inlineStr">
        <x:is>
          <x:t xml:space="preserve">不适用</x:t>
        </x:is>
      </x:c>
      <x:c r="L154" t="inlineStr">
        <x:is>
          <x:t xml:space="preserve">已证实</x:t>
        </x:is>
      </x:c>
      <x:c r="M154" t="inlineStr">
        <x:is>
          <x:t xml:space="preserve">年份/方向/计划口径须再核对；仅作为评分候选</x:t>
        </x:is>
      </x:c>
      <x:c r="N154" t="inlineStr">
        <x:is>
          <x:t xml:space="preserve">待人工评价</x:t>
        </x:is>
      </x:c>
    </x:row>
    <x:row r="155">
      <x:c r="A155" t="inlineStr">
        <x:is>
          <x:t xml:space="preserve">P07</x:t>
        </x:is>
      </x:c>
      <x:c r="B155" t="inlineStr">
        <x:is>
          <x:t xml:space="preserve">合肥工业大学</x:t>
        </x:is>
      </x:c>
      <x:c r="C155" t="inlineStr">
        <x:is>
          <x:t xml:space="preserve">021</x:t>
        </x:is>
      </x:c>
      <x:c r="D155" t="inlineStr">
        <x:is>
          <x:t xml:space="preserve">085410</x:t>
        </x:is>
      </x:c>
      <x:c r="E155" t="inlineStr">
        <x:is>
          <x:t xml:space="preserve">初复试科目稳定性</x:t>
        </x:is>
      </x:c>
      <x:c r="F155" t="inlineStr">
        <x:is>
          <x:t xml:space="preserve">2D风险</x:t>
        </x:is>
      </x:c>
      <x:c r="G155" t="inlineStr">
        <x:is>
          <x:t xml:space="preserve">统考计划年度变化</x:t>
        </x:is>
      </x:c>
      <x:c r="H155" t="inlineStr">
        <x:is>
          <x:t xml:space="preserve">复试阶段统考:2025=5 → 2026=7;2027目录10(含推免6,含专项2)</x:t>
        </x:is>
      </x:c>
      <x:c r="I155" t="inlineStr">
        <x:is>
          <x:t xml:space="preserve">SRC-P2B-15;SRC-P2B-16;SRC-P2B-18</x:t>
        </x:is>
      </x:c>
      <x:c r="J155" t="inlineStr">
        <x:is>
          <x:t xml:space="preserve">S1</x:t>
        </x:is>
      </x:c>
      <x:c r="K155" t="inlineStr">
        <x:is>
          <x:t xml:space="preserve">不适用</x:t>
        </x:is>
      </x:c>
      <x:c r="L155" t="inlineStr">
        <x:is>
          <x:t xml:space="preserve">已证实</x:t>
        </x:is>
      </x:c>
      <x:c r="M155" t="inlineStr">
        <x:is>
          <x:t xml:space="preserve">年份/方向/计划口径须再核对；仅作为评分候选</x:t>
        </x:is>
      </x:c>
      <x:c r="N155" t="inlineStr">
        <x:is>
          <x:t xml:space="preserve">待人工评价</x:t>
        </x:is>
      </x:c>
    </x:row>
    <x:row r="156">
      <x:c r="A156" t="inlineStr">
        <x:is>
          <x:t xml:space="preserve">P07</x:t>
        </x:is>
      </x:c>
      <x:c r="B156" t="inlineStr">
        <x:is>
          <x:t xml:space="preserve">合肥工业大学</x:t>
        </x:is>
      </x:c>
      <x:c r="C156" t="inlineStr">
        <x:is>
          <x:t xml:space="preserve">021</x:t>
        </x:is>
      </x:c>
      <x:c r="D156" t="inlineStr">
        <x:is>
          <x:t xml:space="preserve">085410</x:t>
        </x:is>
      </x:c>
      <x:c r="E156" t="inlineStr">
        <x:is>
          <x:t xml:space="preserve">初复试科目稳定性</x:t>
        </x:is>
      </x:c>
      <x:c r="F156" t="inlineStr">
        <x:is>
          <x:t xml:space="preserve">2D风险</x:t>
        </x:is>
      </x:c>
      <x:c r="G156" t="inlineStr">
        <x:is>
          <x:t xml:space="preserve">推免占比变化</x:t>
        </x:is>
      </x:c>
      <x:c r="H156" t="inlineStr">
        <x:is>
          <x:t xml:space="preserve">2027推免拟6(含专项2)/目录10 → 推免占比高</x:t>
        </x:is>
      </x:c>
      <x:c r="I156" t="inlineStr">
        <x:is>
          <x:t xml:space="preserve">SRC-P2B-18</x:t>
        </x:is>
      </x:c>
      <x:c r="J156" t="inlineStr">
        <x:is>
          <x:t xml:space="preserve">S1</x:t>
        </x:is>
      </x:c>
      <x:c r="K156" t="inlineStr">
        <x:is>
          <x:t xml:space="preserve">不适用</x:t>
        </x:is>
      </x:c>
      <x:c r="L156" t="inlineStr">
        <x:is>
          <x:t xml:space="preserve">已证实</x:t>
        </x:is>
      </x:c>
      <x:c r="M156" t="inlineStr">
        <x:is>
          <x:t xml:space="preserve">年份/方向/计划口径须再核对；仅作为评分候选</x:t>
        </x:is>
      </x:c>
      <x:c r="N156" t="inlineStr">
        <x:is>
          <x:t xml:space="preserve">待人工评价</x:t>
        </x:is>
      </x:c>
    </x:row>
    <x:row r="157">
      <x:c r="A157" t="inlineStr">
        <x:is>
          <x:t xml:space="preserve">P07</x:t>
        </x:is>
      </x:c>
      <x:c r="B157" t="inlineStr">
        <x:is>
          <x:t xml:space="preserve">合肥工业大学</x:t>
        </x:is>
      </x:c>
      <x:c r="C157" t="inlineStr">
        <x:is>
          <x:t xml:space="preserve">021</x:t>
        </x:is>
      </x:c>
      <x:c r="D157" t="inlineStr">
        <x:is>
          <x:t xml:space="preserve">085410</x:t>
        </x:is>
      </x:c>
      <x:c r="E157" t="inlineStr">
        <x:is>
          <x:t xml:space="preserve">复试规则可预期性</x:t>
        </x:is>
      </x:c>
      <x:c r="F157" t="inlineStr">
        <x:is>
          <x:t xml:space="preserve">2D风险</x:t>
        </x:is>
      </x:c>
      <x:c r="G157" t="inlineStr">
        <x:is>
          <x:t xml:space="preserve">统考计划年度变化</x:t>
        </x:is>
      </x:c>
      <x:c r="H157" t="inlineStr">
        <x:is>
          <x:t xml:space="preserve">复试阶段统考:2025=5 → 2026=7;2027目录10(含推免6,含专项2)</x:t>
        </x:is>
      </x:c>
      <x:c r="I157" t="inlineStr">
        <x:is>
          <x:t xml:space="preserve">SRC-P2B-15;SRC-P2B-16;SRC-P2B-18</x:t>
        </x:is>
      </x:c>
      <x:c r="J157" t="inlineStr">
        <x:is>
          <x:t xml:space="preserve">S1</x:t>
        </x:is>
      </x:c>
      <x:c r="K157" t="inlineStr">
        <x:is>
          <x:t xml:space="preserve">不适用</x:t>
        </x:is>
      </x:c>
      <x:c r="L157" t="inlineStr">
        <x:is>
          <x:t xml:space="preserve">已证实</x:t>
        </x:is>
      </x:c>
      <x:c r="M157" t="inlineStr">
        <x:is>
          <x:t xml:space="preserve">年份/方向/计划口径须再核对；仅作为评分候选</x:t>
        </x:is>
      </x:c>
      <x:c r="N157" t="inlineStr">
        <x:is>
          <x:t xml:space="preserve">待人工评价</x:t>
        </x:is>
      </x:c>
    </x:row>
    <x:row r="158">
      <x:c r="A158" t="inlineStr">
        <x:is>
          <x:t xml:space="preserve">P07</x:t>
        </x:is>
      </x:c>
      <x:c r="B158" t="inlineStr">
        <x:is>
          <x:t xml:space="preserve">合肥工业大学</x:t>
        </x:is>
      </x:c>
      <x:c r="C158" t="inlineStr">
        <x:is>
          <x:t xml:space="preserve">021</x:t>
        </x:is>
      </x:c>
      <x:c r="D158" t="inlineStr">
        <x:is>
          <x:t xml:space="preserve">085410</x:t>
        </x:is>
      </x:c>
      <x:c r="E158" t="inlineStr">
        <x:is>
          <x:t xml:space="preserve">复试规则可预期性</x:t>
        </x:is>
      </x:c>
      <x:c r="F158" t="inlineStr">
        <x:is>
          <x:t xml:space="preserve">2D风险</x:t>
        </x:is>
      </x:c>
      <x:c r="G158" t="inlineStr">
        <x:is>
          <x:t xml:space="preserve">推免占比变化</x:t>
        </x:is>
      </x:c>
      <x:c r="H158" t="inlineStr">
        <x:is>
          <x:t xml:space="preserve">2027推免拟6(含专项2)/目录10 → 推免占比高</x:t>
        </x:is>
      </x:c>
      <x:c r="I158" t="inlineStr">
        <x:is>
          <x:t xml:space="preserve">SRC-P2B-18</x:t>
        </x:is>
      </x:c>
      <x:c r="J158" t="inlineStr">
        <x:is>
          <x:t xml:space="preserve">S1</x:t>
        </x:is>
      </x:c>
      <x:c r="K158" t="inlineStr">
        <x:is>
          <x:t xml:space="preserve">不适用</x:t>
        </x:is>
      </x:c>
      <x:c r="L158" t="inlineStr">
        <x:is>
          <x:t xml:space="preserve">已证实</x:t>
        </x:is>
      </x:c>
      <x:c r="M158" t="inlineStr">
        <x:is>
          <x:t xml:space="preserve">年份/方向/计划口径须再核对；仅作为评分候选</x:t>
        </x:is>
      </x:c>
      <x:c r="N158" t="inlineStr">
        <x:is>
          <x:t xml:space="preserve">待人工评价</x:t>
        </x:is>
      </x:c>
    </x:row>
    <x:row r="159">
      <x:c r="A159" t="inlineStr">
        <x:is>
          <x:t xml:space="preserve">P07</x:t>
        </x:is>
      </x:c>
      <x:c r="B159" t="inlineStr">
        <x:is>
          <x:t xml:space="preserve">合肥工业大学</x:t>
        </x:is>
      </x:c>
      <x:c r="C159" t="inlineStr">
        <x:is>
          <x:t xml:space="preserve">021</x:t>
        </x:is>
      </x:c>
      <x:c r="D159" t="inlineStr">
        <x:is>
          <x:t xml:space="preserve">085410</x:t>
        </x:is>
      </x:c>
      <x:c r="E159" t="inlineStr">
        <x:is>
          <x:t xml:space="preserve">导师招生路径证据</x:t>
        </x:is>
      </x:c>
      <x:c r="F159" t="inlineStr">
        <x:is>
          <x:t xml:space="preserve">2D风险</x:t>
        </x:is>
      </x:c>
      <x:c r="G159" t="inlineStr">
        <x:is>
          <x:t xml:space="preserve">统考计划年度变化</x:t>
        </x:is>
      </x:c>
      <x:c r="H159" t="inlineStr">
        <x:is>
          <x:t xml:space="preserve">复试阶段统考:2025=5 → 2026=7;2027目录10(含推免6,含专项2)</x:t>
        </x:is>
      </x:c>
      <x:c r="I159" t="inlineStr">
        <x:is>
          <x:t xml:space="preserve">SRC-P2B-15;SRC-P2B-16;SRC-P2B-18</x:t>
        </x:is>
      </x:c>
      <x:c r="J159" t="inlineStr">
        <x:is>
          <x:t xml:space="preserve">S1</x:t>
        </x:is>
      </x:c>
      <x:c r="K159" t="inlineStr">
        <x:is>
          <x:t xml:space="preserve">不适用</x:t>
        </x:is>
      </x:c>
      <x:c r="L159" t="inlineStr">
        <x:is>
          <x:t xml:space="preserve">已证实</x:t>
        </x:is>
      </x:c>
      <x:c r="M159" t="inlineStr">
        <x:is>
          <x:t xml:space="preserve">年份/方向/计划口径须再核对；仅作为评分候选</x:t>
        </x:is>
      </x:c>
      <x:c r="N159" t="inlineStr">
        <x:is>
          <x:t xml:space="preserve">待人工评价</x:t>
        </x:is>
      </x:c>
    </x:row>
    <x:row r="160">
      <x:c r="A160" t="inlineStr">
        <x:is>
          <x:t xml:space="preserve">P07</x:t>
        </x:is>
      </x:c>
      <x:c r="B160" t="inlineStr">
        <x:is>
          <x:t xml:space="preserve">合肥工业大学</x:t>
        </x:is>
      </x:c>
      <x:c r="C160" t="inlineStr">
        <x:is>
          <x:t xml:space="preserve">021</x:t>
        </x:is>
      </x:c>
      <x:c r="D160" t="inlineStr">
        <x:is>
          <x:t xml:space="preserve">085410</x:t>
        </x:is>
      </x:c>
      <x:c r="E160" t="inlineStr">
        <x:is>
          <x:t xml:space="preserve">导师招生路径证据</x:t>
        </x:is>
      </x:c>
      <x:c r="F160" t="inlineStr">
        <x:is>
          <x:t xml:space="preserve">2D风险</x:t>
        </x:is>
      </x:c>
      <x:c r="G160" t="inlineStr">
        <x:is>
          <x:t xml:space="preserve">推免占比变化</x:t>
        </x:is>
      </x:c>
      <x:c r="H160" t="inlineStr">
        <x:is>
          <x:t xml:space="preserve">2027推免拟6(含专项2)/目录10 → 推免占比高</x:t>
        </x:is>
      </x:c>
      <x:c r="I160" t="inlineStr">
        <x:is>
          <x:t xml:space="preserve">SRC-P2B-18</x:t>
        </x:is>
      </x:c>
      <x:c r="J160" t="inlineStr">
        <x:is>
          <x:t xml:space="preserve">S1</x:t>
        </x:is>
      </x:c>
      <x:c r="K160" t="inlineStr">
        <x:is>
          <x:t xml:space="preserve">不适用</x:t>
        </x:is>
      </x:c>
      <x:c r="L160" t="inlineStr">
        <x:is>
          <x:t xml:space="preserve">已证实</x:t>
        </x:is>
      </x:c>
      <x:c r="M160" t="inlineStr">
        <x:is>
          <x:t xml:space="preserve">年份/方向/计划口径须再核对；仅作为评分候选</x:t>
        </x:is>
      </x:c>
      <x:c r="N160" t="inlineStr">
        <x:is>
          <x:t xml:space="preserve">待人工评价</x:t>
        </x:is>
      </x:c>
    </x:row>
    <x:row r="161">
      <x:c r="A161" t="inlineStr">
        <x:is>
          <x:t xml:space="preserve">P08</x:t>
        </x:is>
      </x:c>
      <x:c r="B161" t="inlineStr">
        <x:is>
          <x:t xml:space="preserve">合肥工业大学</x:t>
        </x:is>
      </x:c>
      <x:c r="C161" t="inlineStr">
        <x:is>
          <x:t xml:space="preserve">023</x:t>
        </x:is>
      </x:c>
      <x:c r="D161" t="inlineStr">
        <x:is>
          <x:t xml:space="preserve">085410</x:t>
        </x:is>
      </x:c>
      <x:c r="E161" t="inlineStr">
        <x:is>
          <x:t xml:space="preserve">全日制统考路径明确性</x:t>
        </x:is>
      </x:c>
      <x:c r="F161" t="inlineStr">
        <x:is>
          <x:t xml:space="preserve">2D风险</x:t>
        </x:is>
      </x:c>
      <x:c r="G161" t="inlineStr">
        <x:is>
          <x:t xml:space="preserve">统考计划年度变化</x:t>
        </x:is>
      </x:c>
      <x:c r="H161" t="inlineStr">
        <x:is>
          <x:t xml:space="preserve">2027新增:目录11(含推免8)→推免后统考约3(推算)</x:t>
        </x:is>
      </x:c>
      <x:c r="I161" t="inlineStr">
        <x:is>
          <x:t xml:space="preserve">SRC-P2B-18</x:t>
        </x:is>
      </x:c>
      <x:c r="J161" t="inlineStr">
        <x:is>
          <x:t xml:space="preserve">S1</x:t>
        </x:is>
      </x:c>
      <x:c r="K161" t="inlineStr">
        <x:is>
          <x:t xml:space="preserve">不适用</x:t>
        </x:is>
      </x:c>
      <x:c r="L161" t="inlineStr">
        <x:is>
          <x:t xml:space="preserve">已证实(目录)</x:t>
        </x:is>
      </x:c>
      <x:c r="M161" t="inlineStr">
        <x:is>
          <x:t xml:space="preserve">年份/方向/计划口径须再核对；仅作为评分候选</x:t>
        </x:is>
      </x:c>
      <x:c r="N161" t="inlineStr">
        <x:is>
          <x:t xml:space="preserve">待人工评价</x:t>
        </x:is>
      </x:c>
    </x:row>
    <x:row r="162">
      <x:c r="A162" t="inlineStr">
        <x:is>
          <x:t xml:space="preserve">P08</x:t>
        </x:is>
      </x:c>
      <x:c r="B162" t="inlineStr">
        <x:is>
          <x:t xml:space="preserve">合肥工业大学</x:t>
        </x:is>
      </x:c>
      <x:c r="C162" t="inlineStr">
        <x:is>
          <x:t xml:space="preserve">023</x:t>
        </x:is>
      </x:c>
      <x:c r="D162" t="inlineStr">
        <x:is>
          <x:t xml:space="preserve">085410</x:t>
        </x:is>
      </x:c>
      <x:c r="E162" t="inlineStr">
        <x:is>
          <x:t xml:space="preserve">全日制统考路径明确性</x:t>
        </x:is>
      </x:c>
      <x:c r="F162" t="inlineStr">
        <x:is>
          <x:t xml:space="preserve">2D风险</x:t>
        </x:is>
      </x:c>
      <x:c r="G162" t="inlineStr">
        <x:is>
          <x:t xml:space="preserve">推免占比变化</x:t>
        </x:is>
      </x:c>
      <x:c r="H162" t="inlineStr">
        <x:is>
          <x:t xml:space="preserve">2027推免拟8/目录11 → 推免占比约73%</x:t>
        </x:is>
      </x:c>
      <x:c r="I162" t="inlineStr">
        <x:is>
          <x:t xml:space="preserve">SRC-P2B-18</x:t>
        </x:is>
      </x:c>
      <x:c r="J162" t="inlineStr">
        <x:is>
          <x:t xml:space="preserve">S1</x:t>
        </x:is>
      </x:c>
      <x:c r="K162" t="inlineStr">
        <x:is>
          <x:t xml:space="preserve">不适用</x:t>
        </x:is>
      </x:c>
      <x:c r="L162" t="inlineStr">
        <x:is>
          <x:t xml:space="preserve">已证实</x:t>
        </x:is>
      </x:c>
      <x:c r="M162" t="inlineStr">
        <x:is>
          <x:t xml:space="preserve">年份/方向/计划口径须再核对；仅作为评分候选</x:t>
        </x:is>
      </x:c>
      <x:c r="N162" t="inlineStr">
        <x:is>
          <x:t xml:space="preserve">待人工评价</x:t>
        </x:is>
      </x:c>
    </x:row>
    <x:row r="163">
      <x:c r="A163" t="inlineStr">
        <x:is>
          <x:t xml:space="preserve">P08</x:t>
        </x:is>
      </x:c>
      <x:c r="B163" t="inlineStr">
        <x:is>
          <x:t xml:space="preserve">合肥工业大学</x:t>
        </x:is>
      </x:c>
      <x:c r="C163" t="inlineStr">
        <x:is>
          <x:t xml:space="preserve">023</x:t>
        </x:is>
      </x:c>
      <x:c r="D163" t="inlineStr">
        <x:is>
          <x:t xml:space="preserve">085410</x:t>
        </x:is>
      </x:c>
      <x:c r="E163" t="inlineStr">
        <x:is>
          <x:t xml:space="preserve">名额口径可靠性</x:t>
        </x:is>
      </x:c>
      <x:c r="F163" t="inlineStr">
        <x:is>
          <x:t xml:space="preserve">2D风险</x:t>
        </x:is>
      </x:c>
      <x:c r="G163" t="inlineStr">
        <x:is>
          <x:t xml:space="preserve">统考计划年度变化</x:t>
        </x:is>
      </x:c>
      <x:c r="H163" t="inlineStr">
        <x:is>
          <x:t xml:space="preserve">2027新增:目录11(含推免8)→推免后统考约3(推算)</x:t>
        </x:is>
      </x:c>
      <x:c r="I163" t="inlineStr">
        <x:is>
          <x:t xml:space="preserve">SRC-P2B-18</x:t>
        </x:is>
      </x:c>
      <x:c r="J163" t="inlineStr">
        <x:is>
          <x:t xml:space="preserve">S1</x:t>
        </x:is>
      </x:c>
      <x:c r="K163" t="inlineStr">
        <x:is>
          <x:t xml:space="preserve">不适用</x:t>
        </x:is>
      </x:c>
      <x:c r="L163" t="inlineStr">
        <x:is>
          <x:t xml:space="preserve">已证实(目录)</x:t>
        </x:is>
      </x:c>
      <x:c r="M163" t="inlineStr">
        <x:is>
          <x:t xml:space="preserve">年份/方向/计划口径须再核对；仅作为评分候选</x:t>
        </x:is>
      </x:c>
      <x:c r="N163" t="inlineStr">
        <x:is>
          <x:t xml:space="preserve">待人工评价</x:t>
        </x:is>
      </x:c>
    </x:row>
    <x:row r="164">
      <x:c r="A164" t="inlineStr">
        <x:is>
          <x:t xml:space="preserve">P08</x:t>
        </x:is>
      </x:c>
      <x:c r="B164" t="inlineStr">
        <x:is>
          <x:t xml:space="preserve">合肥工业大学</x:t>
        </x:is>
      </x:c>
      <x:c r="C164" t="inlineStr">
        <x:is>
          <x:t xml:space="preserve">023</x:t>
        </x:is>
      </x:c>
      <x:c r="D164" t="inlineStr">
        <x:is>
          <x:t xml:space="preserve">085410</x:t>
        </x:is>
      </x:c>
      <x:c r="E164" t="inlineStr">
        <x:is>
          <x:t xml:space="preserve">名额口径可靠性</x:t>
        </x:is>
      </x:c>
      <x:c r="F164" t="inlineStr">
        <x:is>
          <x:t xml:space="preserve">2D风险</x:t>
        </x:is>
      </x:c>
      <x:c r="G164" t="inlineStr">
        <x:is>
          <x:t xml:space="preserve">推免占比变化</x:t>
        </x:is>
      </x:c>
      <x:c r="H164" t="inlineStr">
        <x:is>
          <x:t xml:space="preserve">2027推免拟8/目录11 → 推免占比约73%</x:t>
        </x:is>
      </x:c>
      <x:c r="I164" t="inlineStr">
        <x:is>
          <x:t xml:space="preserve">SRC-P2B-18</x:t>
        </x:is>
      </x:c>
      <x:c r="J164" t="inlineStr">
        <x:is>
          <x:t xml:space="preserve">S1</x:t>
        </x:is>
      </x:c>
      <x:c r="K164" t="inlineStr">
        <x:is>
          <x:t xml:space="preserve">不适用</x:t>
        </x:is>
      </x:c>
      <x:c r="L164" t="inlineStr">
        <x:is>
          <x:t xml:space="preserve">已证实</x:t>
        </x:is>
      </x:c>
      <x:c r="M164" t="inlineStr">
        <x:is>
          <x:t xml:space="preserve">年份/方向/计划口径须再核对；仅作为评分候选</x:t>
        </x:is>
      </x:c>
      <x:c r="N164" t="inlineStr">
        <x:is>
          <x:t xml:space="preserve">待人工评价</x:t>
        </x:is>
      </x:c>
    </x:row>
    <x:row r="165">
      <x:c r="A165" t="inlineStr">
        <x:is>
          <x:t xml:space="preserve">P08</x:t>
        </x:is>
      </x:c>
      <x:c r="B165" t="inlineStr">
        <x:is>
          <x:t xml:space="preserve">合肥工业大学</x:t>
        </x:is>
      </x:c>
      <x:c r="C165" t="inlineStr">
        <x:is>
          <x:t xml:space="preserve">023</x:t>
        </x:is>
      </x:c>
      <x:c r="D165" t="inlineStr">
        <x:is>
          <x:t xml:space="preserve">085410</x:t>
        </x:is>
      </x:c>
      <x:c r="E165" t="inlineStr">
        <x:is>
          <x:t xml:space="preserve">初复试科目稳定性</x:t>
        </x:is>
      </x:c>
      <x:c r="F165" t="inlineStr">
        <x:is>
          <x:t xml:space="preserve">2D风险</x:t>
        </x:is>
      </x:c>
      <x:c r="G165" t="inlineStr">
        <x:is>
          <x:t xml:space="preserve">统考计划年度变化</x:t>
        </x:is>
      </x:c>
      <x:c r="H165" t="inlineStr">
        <x:is>
          <x:t xml:space="preserve">2027新增:目录11(含推免8)→推免后统考约3(推算)</x:t>
        </x:is>
      </x:c>
      <x:c r="I165" t="inlineStr">
        <x:is>
          <x:t xml:space="preserve">SRC-P2B-18</x:t>
        </x:is>
      </x:c>
      <x:c r="J165" t="inlineStr">
        <x:is>
          <x:t xml:space="preserve">S1</x:t>
        </x:is>
      </x:c>
      <x:c r="K165" t="inlineStr">
        <x:is>
          <x:t xml:space="preserve">不适用</x:t>
        </x:is>
      </x:c>
      <x:c r="L165" t="inlineStr">
        <x:is>
          <x:t xml:space="preserve">已证实(目录)</x:t>
        </x:is>
      </x:c>
      <x:c r="M165" t="inlineStr">
        <x:is>
          <x:t xml:space="preserve">年份/方向/计划口径须再核对；仅作为评分候选</x:t>
        </x:is>
      </x:c>
      <x:c r="N165" t="inlineStr">
        <x:is>
          <x:t xml:space="preserve">待人工评价</x:t>
        </x:is>
      </x:c>
    </x:row>
    <x:row r="166">
      <x:c r="A166" t="inlineStr">
        <x:is>
          <x:t xml:space="preserve">P08</x:t>
        </x:is>
      </x:c>
      <x:c r="B166" t="inlineStr">
        <x:is>
          <x:t xml:space="preserve">合肥工业大学</x:t>
        </x:is>
      </x:c>
      <x:c r="C166" t="inlineStr">
        <x:is>
          <x:t xml:space="preserve">023</x:t>
        </x:is>
      </x:c>
      <x:c r="D166" t="inlineStr">
        <x:is>
          <x:t xml:space="preserve">085410</x:t>
        </x:is>
      </x:c>
      <x:c r="E166" t="inlineStr">
        <x:is>
          <x:t xml:space="preserve">初复试科目稳定性</x:t>
        </x:is>
      </x:c>
      <x:c r="F166" t="inlineStr">
        <x:is>
          <x:t xml:space="preserve">2D风险</x:t>
        </x:is>
      </x:c>
      <x:c r="G166" t="inlineStr">
        <x:is>
          <x:t xml:space="preserve">推免占比变化</x:t>
        </x:is>
      </x:c>
      <x:c r="H166" t="inlineStr">
        <x:is>
          <x:t xml:space="preserve">2027推免拟8/目录11 → 推免占比约73%</x:t>
        </x:is>
      </x:c>
      <x:c r="I166" t="inlineStr">
        <x:is>
          <x:t xml:space="preserve">SRC-P2B-18</x:t>
        </x:is>
      </x:c>
      <x:c r="J166" t="inlineStr">
        <x:is>
          <x:t xml:space="preserve">S1</x:t>
        </x:is>
      </x:c>
      <x:c r="K166" t="inlineStr">
        <x:is>
          <x:t xml:space="preserve">不适用</x:t>
        </x:is>
      </x:c>
      <x:c r="L166" t="inlineStr">
        <x:is>
          <x:t xml:space="preserve">已证实</x:t>
        </x:is>
      </x:c>
      <x:c r="M166" t="inlineStr">
        <x:is>
          <x:t xml:space="preserve">年份/方向/计划口径须再核对；仅作为评分候选</x:t>
        </x:is>
      </x:c>
      <x:c r="N166" t="inlineStr">
        <x:is>
          <x:t xml:space="preserve">待人工评价</x:t>
        </x:is>
      </x:c>
    </x:row>
    <x:row r="167">
      <x:c r="A167" t="inlineStr">
        <x:is>
          <x:t xml:space="preserve">P08</x:t>
        </x:is>
      </x:c>
      <x:c r="B167" t="inlineStr">
        <x:is>
          <x:t xml:space="preserve">合肥工业大学</x:t>
        </x:is>
      </x:c>
      <x:c r="C167" t="inlineStr">
        <x:is>
          <x:t xml:space="preserve">023</x:t>
        </x:is>
      </x:c>
      <x:c r="D167" t="inlineStr">
        <x:is>
          <x:t xml:space="preserve">085410</x:t>
        </x:is>
      </x:c>
      <x:c r="E167" t="inlineStr">
        <x:is>
          <x:t xml:space="preserve">复试规则可预期性</x:t>
        </x:is>
      </x:c>
      <x:c r="F167" t="inlineStr">
        <x:is>
          <x:t xml:space="preserve">2D风险</x:t>
        </x:is>
      </x:c>
      <x:c r="G167" t="inlineStr">
        <x:is>
          <x:t xml:space="preserve">统考计划年度变化</x:t>
        </x:is>
      </x:c>
      <x:c r="H167" t="inlineStr">
        <x:is>
          <x:t xml:space="preserve">2027新增:目录11(含推免8)→推免后统考约3(推算)</x:t>
        </x:is>
      </x:c>
      <x:c r="I167" t="inlineStr">
        <x:is>
          <x:t xml:space="preserve">SRC-P2B-18</x:t>
        </x:is>
      </x:c>
      <x:c r="J167" t="inlineStr">
        <x:is>
          <x:t xml:space="preserve">S1</x:t>
        </x:is>
      </x:c>
      <x:c r="K167" t="inlineStr">
        <x:is>
          <x:t xml:space="preserve">不适用</x:t>
        </x:is>
      </x:c>
      <x:c r="L167" t="inlineStr">
        <x:is>
          <x:t xml:space="preserve">已证实(目录)</x:t>
        </x:is>
      </x:c>
      <x:c r="M167" t="inlineStr">
        <x:is>
          <x:t xml:space="preserve">年份/方向/计划口径须再核对；仅作为评分候选</x:t>
        </x:is>
      </x:c>
      <x:c r="N167" t="inlineStr">
        <x:is>
          <x:t xml:space="preserve">待人工评价</x:t>
        </x:is>
      </x:c>
    </x:row>
    <x:row r="168">
      <x:c r="A168" t="inlineStr">
        <x:is>
          <x:t xml:space="preserve">P08</x:t>
        </x:is>
      </x:c>
      <x:c r="B168" t="inlineStr">
        <x:is>
          <x:t xml:space="preserve">合肥工业大学</x:t>
        </x:is>
      </x:c>
      <x:c r="C168" t="inlineStr">
        <x:is>
          <x:t xml:space="preserve">023</x:t>
        </x:is>
      </x:c>
      <x:c r="D168" t="inlineStr">
        <x:is>
          <x:t xml:space="preserve">085410</x:t>
        </x:is>
      </x:c>
      <x:c r="E168" t="inlineStr">
        <x:is>
          <x:t xml:space="preserve">复试规则可预期性</x:t>
        </x:is>
      </x:c>
      <x:c r="F168" t="inlineStr">
        <x:is>
          <x:t xml:space="preserve">2D风险</x:t>
        </x:is>
      </x:c>
      <x:c r="G168" t="inlineStr">
        <x:is>
          <x:t xml:space="preserve">推免占比变化</x:t>
        </x:is>
      </x:c>
      <x:c r="H168" t="inlineStr">
        <x:is>
          <x:t xml:space="preserve">2027推免拟8/目录11 → 推免占比约73%</x:t>
        </x:is>
      </x:c>
      <x:c r="I168" t="inlineStr">
        <x:is>
          <x:t xml:space="preserve">SRC-P2B-18</x:t>
        </x:is>
      </x:c>
      <x:c r="J168" t="inlineStr">
        <x:is>
          <x:t xml:space="preserve">S1</x:t>
        </x:is>
      </x:c>
      <x:c r="K168" t="inlineStr">
        <x:is>
          <x:t xml:space="preserve">不适用</x:t>
        </x:is>
      </x:c>
      <x:c r="L168" t="inlineStr">
        <x:is>
          <x:t xml:space="preserve">已证实</x:t>
        </x:is>
      </x:c>
      <x:c r="M168" t="inlineStr">
        <x:is>
          <x:t xml:space="preserve">年份/方向/计划口径须再核对；仅作为评分候选</x:t>
        </x:is>
      </x:c>
      <x:c r="N168" t="inlineStr">
        <x:is>
          <x:t xml:space="preserve">待人工评价</x:t>
        </x:is>
      </x:c>
    </x:row>
    <x:row r="169">
      <x:c r="A169" t="inlineStr">
        <x:is>
          <x:t xml:space="preserve">P08</x:t>
        </x:is>
      </x:c>
      <x:c r="B169" t="inlineStr">
        <x:is>
          <x:t xml:space="preserve">合肥工业大学</x:t>
        </x:is>
      </x:c>
      <x:c r="C169" t="inlineStr">
        <x:is>
          <x:t xml:space="preserve">023</x:t>
        </x:is>
      </x:c>
      <x:c r="D169" t="inlineStr">
        <x:is>
          <x:t xml:space="preserve">085410</x:t>
        </x:is>
      </x:c>
      <x:c r="E169" t="inlineStr">
        <x:is>
          <x:t xml:space="preserve">导师招生路径证据</x:t>
        </x:is>
      </x:c>
      <x:c r="F169" t="inlineStr">
        <x:is>
          <x:t xml:space="preserve">2D风险</x:t>
        </x:is>
      </x:c>
      <x:c r="G169" t="inlineStr">
        <x:is>
          <x:t xml:space="preserve">统考计划年度变化</x:t>
        </x:is>
      </x:c>
      <x:c r="H169" t="inlineStr">
        <x:is>
          <x:t xml:space="preserve">2027新增:目录11(含推免8)→推免后统考约3(推算)</x:t>
        </x:is>
      </x:c>
      <x:c r="I169" t="inlineStr">
        <x:is>
          <x:t xml:space="preserve">SRC-P2B-18</x:t>
        </x:is>
      </x:c>
      <x:c r="J169" t="inlineStr">
        <x:is>
          <x:t xml:space="preserve">S1</x:t>
        </x:is>
      </x:c>
      <x:c r="K169" t="inlineStr">
        <x:is>
          <x:t xml:space="preserve">不适用</x:t>
        </x:is>
      </x:c>
      <x:c r="L169" t="inlineStr">
        <x:is>
          <x:t xml:space="preserve">已证实(目录)</x:t>
        </x:is>
      </x:c>
      <x:c r="M169" t="inlineStr">
        <x:is>
          <x:t xml:space="preserve">年份/方向/计划口径须再核对；仅作为评分候选</x:t>
        </x:is>
      </x:c>
      <x:c r="N169" t="inlineStr">
        <x:is>
          <x:t xml:space="preserve">待人工评价</x:t>
        </x:is>
      </x:c>
    </x:row>
    <x:row r="170">
      <x:c r="A170" t="inlineStr">
        <x:is>
          <x:t xml:space="preserve">P08</x:t>
        </x:is>
      </x:c>
      <x:c r="B170" t="inlineStr">
        <x:is>
          <x:t xml:space="preserve">合肥工业大学</x:t>
        </x:is>
      </x:c>
      <x:c r="C170" t="inlineStr">
        <x:is>
          <x:t xml:space="preserve">023</x:t>
        </x:is>
      </x:c>
      <x:c r="D170" t="inlineStr">
        <x:is>
          <x:t xml:space="preserve">085410</x:t>
        </x:is>
      </x:c>
      <x:c r="E170" t="inlineStr">
        <x:is>
          <x:t xml:space="preserve">导师招生路径证据</x:t>
        </x:is>
      </x:c>
      <x:c r="F170" t="inlineStr">
        <x:is>
          <x:t xml:space="preserve">2D风险</x:t>
        </x:is>
      </x:c>
      <x:c r="G170" t="inlineStr">
        <x:is>
          <x:t xml:space="preserve">推免占比变化</x:t>
        </x:is>
      </x:c>
      <x:c r="H170" t="inlineStr">
        <x:is>
          <x:t xml:space="preserve">2027推免拟8/目录11 → 推免占比约73%</x:t>
        </x:is>
      </x:c>
      <x:c r="I170" t="inlineStr">
        <x:is>
          <x:t xml:space="preserve">SRC-P2B-18</x:t>
        </x:is>
      </x:c>
      <x:c r="J170" t="inlineStr">
        <x:is>
          <x:t xml:space="preserve">S1</x:t>
        </x:is>
      </x:c>
      <x:c r="K170" t="inlineStr">
        <x:is>
          <x:t xml:space="preserve">不适用</x:t>
        </x:is>
      </x:c>
      <x:c r="L170" t="inlineStr">
        <x:is>
          <x:t xml:space="preserve">已证实</x:t>
        </x:is>
      </x:c>
      <x:c r="M170" t="inlineStr">
        <x:is>
          <x:t xml:space="preserve">年份/方向/计划口径须再核对；仅作为评分候选</x:t>
        </x:is>
      </x:c>
      <x:c r="N170" t="inlineStr">
        <x:is>
          <x:t xml:space="preserve">待人工评价</x:t>
        </x:is>
      </x:c>
    </x:row>
    <x:row r="171">
      <x:c r="A171" t="inlineStr">
        <x:is>
          <x:t xml:space="preserve">P09</x:t>
        </x:is>
      </x:c>
      <x:c r="B171" t="inlineStr">
        <x:is>
          <x:t xml:space="preserve">西南交通大学</x:t>
        </x:is>
      </x:c>
      <x:c r="C171" t="inlineStr">
        <x:is>
          <x:t xml:space="preserve">004</x:t>
        </x:is>
      </x:c>
      <x:c r="D171" t="inlineStr">
        <x:is>
          <x:t xml:space="preserve">085410</x:t>
        </x:is>
      </x:c>
      <x:c r="E171" t="inlineStr">
        <x:is>
          <x:t xml:space="preserve">Agent/LLM能力积累</x:t>
        </x:is>
      </x:c>
      <x:c r="F171" t="inlineStr">
        <x:is>
          <x:t xml:space="preserve">2D资源</x:t>
        </x:is>
      </x:c>
      <x:c r="G171" t="inlineStr">
        <x:is>
          <x:t xml:space="preserve">D1-AI科研方向匹配</x:t>
        </x:is>
      </x:c>
      <x:c r="H171" t="inlineStr">
        <x:is>
          <x:t xml:space="preserve">王小敏团队:轨道交通运行控制/人工智能与大数据运维(交通专业);邓涛团队:视觉认知/计算机视觉/智能交通;郑玉棒:智能遥感分析与计算。</x:t>
        </x:is>
      </x:c>
      <x:c r="I171" t="inlineStr">
        <x:is>
          <x:t xml:space="preserve">SWJTU-S21;SWJTU-S22</x:t>
        </x:is>
      </x:c>
      <x:c r="J171" t="inlineStr">
        <x:is>
          <x:t xml:space="preserve">S2</x:t>
        </x:is>
      </x:c>
      <x:c r="K171" t="inlineStr">
        <x:is>
          <x:t xml:space="preserve">P2</x:t>
        </x:is>
      </x:c>
      <x:c r="L171" t="inlineStr">
        <x:is>
          <x:t xml:space="preserve">已证实(方向)</x:t>
        </x:is>
      </x:c>
      <x:c r="M171" t="inlineStr">
        <x:is>
          <x:t xml:space="preserve">仅学院/专业级关联；未证该方向或导师可进入；不得自动打分</x:t>
        </x:is>
      </x:c>
      <x:c r="N171" t="inlineStr">
        <x:is>
          <x:t xml:space="preserve">待人工评价</x:t>
        </x:is>
      </x:c>
    </x:row>
    <x:row r="172">
      <x:c r="A172" t="inlineStr">
        <x:is>
          <x:t xml:space="preserve">P09</x:t>
        </x:is>
      </x:c>
      <x:c r="B172" t="inlineStr">
        <x:is>
          <x:t xml:space="preserve">西南交通大学</x:t>
        </x:is>
      </x:c>
      <x:c r="C172" t="inlineStr">
        <x:is>
          <x:t xml:space="preserve">004</x:t>
        </x:is>
      </x:c>
      <x:c r="D172" t="inlineStr">
        <x:is>
          <x:t xml:space="preserve">085410</x:t>
        </x:is>
      </x:c>
      <x:c r="E172" t="inlineStr">
        <x:is>
          <x:t xml:space="preserve">具身/机器人发展空间</x:t>
        </x:is>
      </x:c>
      <x:c r="F172" t="inlineStr">
        <x:is>
          <x:t xml:space="preserve">2D资源</x:t>
        </x:is>
      </x:c>
      <x:c r="G172" t="inlineStr">
        <x:is>
          <x:t xml:space="preserve">D1-AI科研方向匹配</x:t>
        </x:is>
      </x:c>
      <x:c r="H172" t="inlineStr">
        <x:is>
          <x:t xml:space="preserve">王小敏团队:轨道交通运行控制/人工智能与大数据运维(交通专业);邓涛团队:视觉认知/计算机视觉/智能交通;郑玉棒:智能遥感分析与计算。</x:t>
        </x:is>
      </x:c>
      <x:c r="I172" t="inlineStr">
        <x:is>
          <x:t xml:space="preserve">SWJTU-S21;SWJTU-S22</x:t>
        </x:is>
      </x:c>
      <x:c r="J172" t="inlineStr">
        <x:is>
          <x:t xml:space="preserve">S2</x:t>
        </x:is>
      </x:c>
      <x:c r="K172" t="inlineStr">
        <x:is>
          <x:t xml:space="preserve">P2</x:t>
        </x:is>
      </x:c>
      <x:c r="L172" t="inlineStr">
        <x:is>
          <x:t xml:space="preserve">已证实(方向)</x:t>
        </x:is>
      </x:c>
      <x:c r="M172" t="inlineStr">
        <x:is>
          <x:t xml:space="preserve">仅学院/专业级关联；未证该方向或导师可进入；不得自动打分</x:t>
        </x:is>
      </x:c>
      <x:c r="N172" t="inlineStr">
        <x:is>
          <x:t xml:space="preserve">待人工评价</x:t>
        </x:is>
      </x:c>
    </x:row>
    <x:row r="173">
      <x:c r="A173" t="inlineStr">
        <x:is>
          <x:t xml:space="preserve">P09</x:t>
        </x:is>
      </x:c>
      <x:c r="B173" t="inlineStr">
        <x:is>
          <x:t xml:space="preserve">西南交通大学</x:t>
        </x:is>
      </x:c>
      <x:c r="C173" t="inlineStr">
        <x:is>
          <x:t xml:space="preserve">004</x:t>
        </x:is>
      </x:c>
      <x:c r="D173" t="inlineStr">
        <x:is>
          <x:t xml:space="preserve">085410</x:t>
        </x:is>
      </x:c>
      <x:c r="E173" t="inlineStr">
        <x:is>
          <x:t xml:space="preserve">全日制统考路径明确性</x:t>
        </x:is>
      </x:c>
      <x:c r="F173" t="inlineStr">
        <x:is>
          <x:t xml:space="preserve">2D风险</x:t>
        </x:is>
      </x:c>
      <x:c r="G173" t="inlineStr">
        <x:is>
          <x:t xml:space="preserve">统考计划年度变化</x:t>
        </x:is>
      </x:c>
      <x:c r="H173" t="inlineStr">
        <x:is>
          <x:t xml:space="preserve">拟招生(含推免):2024=8 → 2027=14(含推免8)→统考约6(推算)</x:t>
        </x:is>
      </x:c>
      <x:c r="I173" t="inlineStr">
        <x:is>
          <x:t xml:space="preserve">B-01;B-09</x:t>
        </x:is>
      </x:c>
      <x:c r="J173" t="inlineStr">
        <x:is>
          <x:t xml:space="preserve">S1</x:t>
        </x:is>
      </x:c>
      <x:c r="K173" t="inlineStr">
        <x:is>
          <x:t xml:space="preserve">不适用</x:t>
        </x:is>
      </x:c>
      <x:c r="L173" t="inlineStr">
        <x:is>
          <x:t xml:space="preserve">已证实</x:t>
        </x:is>
      </x:c>
      <x:c r="M173" t="inlineStr">
        <x:is>
          <x:t xml:space="preserve">年份/方向/计划口径须再核对；仅作为评分候选</x:t>
        </x:is>
      </x:c>
      <x:c r="N173" t="inlineStr">
        <x:is>
          <x:t xml:space="preserve">待人工评价</x:t>
        </x:is>
      </x:c>
    </x:row>
    <x:row r="174">
      <x:c r="A174" t="inlineStr">
        <x:is>
          <x:t xml:space="preserve">P09</x:t>
        </x:is>
      </x:c>
      <x:c r="B174" t="inlineStr">
        <x:is>
          <x:t xml:space="preserve">西南交通大学</x:t>
        </x:is>
      </x:c>
      <x:c r="C174" t="inlineStr">
        <x:is>
          <x:t xml:space="preserve">004</x:t>
        </x:is>
      </x:c>
      <x:c r="D174" t="inlineStr">
        <x:is>
          <x:t xml:space="preserve">085410</x:t>
        </x:is>
      </x:c>
      <x:c r="E174" t="inlineStr">
        <x:is>
          <x:t xml:space="preserve">全日制统考路径明确性</x:t>
        </x:is>
      </x:c>
      <x:c r="F174" t="inlineStr">
        <x:is>
          <x:t xml:space="preserve">2D风险</x:t>
        </x:is>
      </x:c>
      <x:c r="G174" t="inlineStr">
        <x:is>
          <x:t xml:space="preserve">推免占比变化</x:t>
        </x:is>
      </x:c>
      <x:c r="H174" t="inlineStr">
        <x:is>
          <x:t xml:space="preserve">推免实录取:2024=1 → 2025=7;2027拟推免8/14(占比高)</x:t>
        </x:is>
      </x:c>
      <x:c r="I174" t="inlineStr">
        <x:is>
          <x:t xml:space="preserve">B-09</x:t>
        </x:is>
      </x:c>
      <x:c r="J174" t="inlineStr">
        <x:is>
          <x:t xml:space="preserve">S1</x:t>
        </x:is>
      </x:c>
      <x:c r="K174" t="inlineStr">
        <x:is>
          <x:t xml:space="preserve">不适用</x:t>
        </x:is>
      </x:c>
      <x:c r="L174" t="inlineStr">
        <x:is>
          <x:t xml:space="preserve">已证实</x:t>
        </x:is>
      </x:c>
      <x:c r="M174" t="inlineStr">
        <x:is>
          <x:t xml:space="preserve">年份/方向/计划口径须再核对；仅作为评分候选</x:t>
        </x:is>
      </x:c>
      <x:c r="N174" t="inlineStr">
        <x:is>
          <x:t xml:space="preserve">待人工评价</x:t>
        </x:is>
      </x:c>
    </x:row>
    <x:row r="175">
      <x:c r="A175" t="inlineStr">
        <x:is>
          <x:t xml:space="preserve">P09</x:t>
        </x:is>
      </x:c>
      <x:c r="B175" t="inlineStr">
        <x:is>
          <x:t xml:space="preserve">西南交通大学</x:t>
        </x:is>
      </x:c>
      <x:c r="C175" t="inlineStr">
        <x:is>
          <x:t xml:space="preserve">004</x:t>
        </x:is>
      </x:c>
      <x:c r="D175" t="inlineStr">
        <x:is>
          <x:t xml:space="preserve">085410</x:t>
        </x:is>
      </x:c>
      <x:c r="E175" t="inlineStr">
        <x:is>
          <x:t xml:space="preserve">名额口径可靠性</x:t>
        </x:is>
      </x:c>
      <x:c r="F175" t="inlineStr">
        <x:is>
          <x:t xml:space="preserve">2D风险</x:t>
        </x:is>
      </x:c>
      <x:c r="G175" t="inlineStr">
        <x:is>
          <x:t xml:space="preserve">统考计划年度变化</x:t>
        </x:is>
      </x:c>
      <x:c r="H175" t="inlineStr">
        <x:is>
          <x:t xml:space="preserve">拟招生(含推免):2024=8 → 2027=14(含推免8)→统考约6(推算)</x:t>
        </x:is>
      </x:c>
      <x:c r="I175" t="inlineStr">
        <x:is>
          <x:t xml:space="preserve">B-01;B-09</x:t>
        </x:is>
      </x:c>
      <x:c r="J175" t="inlineStr">
        <x:is>
          <x:t xml:space="preserve">S1</x:t>
        </x:is>
      </x:c>
      <x:c r="K175" t="inlineStr">
        <x:is>
          <x:t xml:space="preserve">不适用</x:t>
        </x:is>
      </x:c>
      <x:c r="L175" t="inlineStr">
        <x:is>
          <x:t xml:space="preserve">已证实</x:t>
        </x:is>
      </x:c>
      <x:c r="M175" t="inlineStr">
        <x:is>
          <x:t xml:space="preserve">年份/方向/计划口径须再核对；仅作为评分候选</x:t>
        </x:is>
      </x:c>
      <x:c r="N175" t="inlineStr">
        <x:is>
          <x:t xml:space="preserve">待人工评价</x:t>
        </x:is>
      </x:c>
    </x:row>
    <x:row r="176">
      <x:c r="A176" t="inlineStr">
        <x:is>
          <x:t xml:space="preserve">P09</x:t>
        </x:is>
      </x:c>
      <x:c r="B176" t="inlineStr">
        <x:is>
          <x:t xml:space="preserve">西南交通大学</x:t>
        </x:is>
      </x:c>
      <x:c r="C176" t="inlineStr">
        <x:is>
          <x:t xml:space="preserve">004</x:t>
        </x:is>
      </x:c>
      <x:c r="D176" t="inlineStr">
        <x:is>
          <x:t xml:space="preserve">085410</x:t>
        </x:is>
      </x:c>
      <x:c r="E176" t="inlineStr">
        <x:is>
          <x:t xml:space="preserve">名额口径可靠性</x:t>
        </x:is>
      </x:c>
      <x:c r="F176" t="inlineStr">
        <x:is>
          <x:t xml:space="preserve">2D风险</x:t>
        </x:is>
      </x:c>
      <x:c r="G176" t="inlineStr">
        <x:is>
          <x:t xml:space="preserve">推免占比变化</x:t>
        </x:is>
      </x:c>
      <x:c r="H176" t="inlineStr">
        <x:is>
          <x:t xml:space="preserve">推免实录取:2024=1 → 2025=7;2027拟推免8/14(占比高)</x:t>
        </x:is>
      </x:c>
      <x:c r="I176" t="inlineStr">
        <x:is>
          <x:t xml:space="preserve">B-09</x:t>
        </x:is>
      </x:c>
      <x:c r="J176" t="inlineStr">
        <x:is>
          <x:t xml:space="preserve">S1</x:t>
        </x:is>
      </x:c>
      <x:c r="K176" t="inlineStr">
        <x:is>
          <x:t xml:space="preserve">不适用</x:t>
        </x:is>
      </x:c>
      <x:c r="L176" t="inlineStr">
        <x:is>
          <x:t xml:space="preserve">已证实</x:t>
        </x:is>
      </x:c>
      <x:c r="M176" t="inlineStr">
        <x:is>
          <x:t xml:space="preserve">年份/方向/计划口径须再核对；仅作为评分候选</x:t>
        </x:is>
      </x:c>
      <x:c r="N176" t="inlineStr">
        <x:is>
          <x:t xml:space="preserve">待人工评价</x:t>
        </x:is>
      </x:c>
    </x:row>
    <x:row r="177">
      <x:c r="A177" t="inlineStr">
        <x:is>
          <x:t xml:space="preserve">P09</x:t>
        </x:is>
      </x:c>
      <x:c r="B177" t="inlineStr">
        <x:is>
          <x:t xml:space="preserve">西南交通大学</x:t>
        </x:is>
      </x:c>
      <x:c r="C177" t="inlineStr">
        <x:is>
          <x:t xml:space="preserve">004</x:t>
        </x:is>
      </x:c>
      <x:c r="D177" t="inlineStr">
        <x:is>
          <x:t xml:space="preserve">085410</x:t>
        </x:is>
      </x:c>
      <x:c r="E177" t="inlineStr">
        <x:is>
          <x:t xml:space="preserve">初复试科目稳定性</x:t>
        </x:is>
      </x:c>
      <x:c r="F177" t="inlineStr">
        <x:is>
          <x:t xml:space="preserve">2D风险</x:t>
        </x:is>
      </x:c>
      <x:c r="G177" t="inlineStr">
        <x:is>
          <x:t xml:space="preserve">统考计划年度变化</x:t>
        </x:is>
      </x:c>
      <x:c r="H177" t="inlineStr">
        <x:is>
          <x:t xml:space="preserve">拟招生(含推免):2024=8 → 2027=14(含推免8)→统考约6(推算)</x:t>
        </x:is>
      </x:c>
      <x:c r="I177" t="inlineStr">
        <x:is>
          <x:t xml:space="preserve">B-01;B-09</x:t>
        </x:is>
      </x:c>
      <x:c r="J177" t="inlineStr">
        <x:is>
          <x:t xml:space="preserve">S1</x:t>
        </x:is>
      </x:c>
      <x:c r="K177" t="inlineStr">
        <x:is>
          <x:t xml:space="preserve">不适用</x:t>
        </x:is>
      </x:c>
      <x:c r="L177" t="inlineStr">
        <x:is>
          <x:t xml:space="preserve">已证实</x:t>
        </x:is>
      </x:c>
      <x:c r="M177" t="inlineStr">
        <x:is>
          <x:t xml:space="preserve">年份/方向/计划口径须再核对；仅作为评分候选</x:t>
        </x:is>
      </x:c>
      <x:c r="N177" t="inlineStr">
        <x:is>
          <x:t xml:space="preserve">待人工评价</x:t>
        </x:is>
      </x:c>
    </x:row>
    <x:row r="178">
      <x:c r="A178" t="inlineStr">
        <x:is>
          <x:t xml:space="preserve">P09</x:t>
        </x:is>
      </x:c>
      <x:c r="B178" t="inlineStr">
        <x:is>
          <x:t xml:space="preserve">西南交通大学</x:t>
        </x:is>
      </x:c>
      <x:c r="C178" t="inlineStr">
        <x:is>
          <x:t xml:space="preserve">004</x:t>
        </x:is>
      </x:c>
      <x:c r="D178" t="inlineStr">
        <x:is>
          <x:t xml:space="preserve">085410</x:t>
        </x:is>
      </x:c>
      <x:c r="E178" t="inlineStr">
        <x:is>
          <x:t xml:space="preserve">初复试科目稳定性</x:t>
        </x:is>
      </x:c>
      <x:c r="F178" t="inlineStr">
        <x:is>
          <x:t xml:space="preserve">2D风险</x:t>
        </x:is>
      </x:c>
      <x:c r="G178" t="inlineStr">
        <x:is>
          <x:t xml:space="preserve">推免占比变化</x:t>
        </x:is>
      </x:c>
      <x:c r="H178" t="inlineStr">
        <x:is>
          <x:t xml:space="preserve">推免实录取:2024=1 → 2025=7;2027拟推免8/14(占比高)</x:t>
        </x:is>
      </x:c>
      <x:c r="I178" t="inlineStr">
        <x:is>
          <x:t xml:space="preserve">B-09</x:t>
        </x:is>
      </x:c>
      <x:c r="J178" t="inlineStr">
        <x:is>
          <x:t xml:space="preserve">S1</x:t>
        </x:is>
      </x:c>
      <x:c r="K178" t="inlineStr">
        <x:is>
          <x:t xml:space="preserve">不适用</x:t>
        </x:is>
      </x:c>
      <x:c r="L178" t="inlineStr">
        <x:is>
          <x:t xml:space="preserve">已证实</x:t>
        </x:is>
      </x:c>
      <x:c r="M178" t="inlineStr">
        <x:is>
          <x:t xml:space="preserve">年份/方向/计划口径须再核对；仅作为评分候选</x:t>
        </x:is>
      </x:c>
      <x:c r="N178" t="inlineStr">
        <x:is>
          <x:t xml:space="preserve">待人工评价</x:t>
        </x:is>
      </x:c>
    </x:row>
    <x:row r="179">
      <x:c r="A179" t="inlineStr">
        <x:is>
          <x:t xml:space="preserve">P09</x:t>
        </x:is>
      </x:c>
      <x:c r="B179" t="inlineStr">
        <x:is>
          <x:t xml:space="preserve">西南交通大学</x:t>
        </x:is>
      </x:c>
      <x:c r="C179" t="inlineStr">
        <x:is>
          <x:t xml:space="preserve">004</x:t>
        </x:is>
      </x:c>
      <x:c r="D179" t="inlineStr">
        <x:is>
          <x:t xml:space="preserve">085410</x:t>
        </x:is>
      </x:c>
      <x:c r="E179" t="inlineStr">
        <x:is>
          <x:t xml:space="preserve">复试规则可预期性</x:t>
        </x:is>
      </x:c>
      <x:c r="F179" t="inlineStr">
        <x:is>
          <x:t xml:space="preserve">2D风险</x:t>
        </x:is>
      </x:c>
      <x:c r="G179" t="inlineStr">
        <x:is>
          <x:t xml:space="preserve">统考计划年度变化</x:t>
        </x:is>
      </x:c>
      <x:c r="H179" t="inlineStr">
        <x:is>
          <x:t xml:space="preserve">拟招生(含推免):2024=8 → 2027=14(含推免8)→统考约6(推算)</x:t>
        </x:is>
      </x:c>
      <x:c r="I179" t="inlineStr">
        <x:is>
          <x:t xml:space="preserve">B-01;B-09</x:t>
        </x:is>
      </x:c>
      <x:c r="J179" t="inlineStr">
        <x:is>
          <x:t xml:space="preserve">S1</x:t>
        </x:is>
      </x:c>
      <x:c r="K179" t="inlineStr">
        <x:is>
          <x:t xml:space="preserve">不适用</x:t>
        </x:is>
      </x:c>
      <x:c r="L179" t="inlineStr">
        <x:is>
          <x:t xml:space="preserve">已证实</x:t>
        </x:is>
      </x:c>
      <x:c r="M179" t="inlineStr">
        <x:is>
          <x:t xml:space="preserve">年份/方向/计划口径须再核对；仅作为评分候选</x:t>
        </x:is>
      </x:c>
      <x:c r="N179" t="inlineStr">
        <x:is>
          <x:t xml:space="preserve">待人工评价</x:t>
        </x:is>
      </x:c>
    </x:row>
    <x:row r="180">
      <x:c r="A180" t="inlineStr">
        <x:is>
          <x:t xml:space="preserve">P09</x:t>
        </x:is>
      </x:c>
      <x:c r="B180" t="inlineStr">
        <x:is>
          <x:t xml:space="preserve">西南交通大学</x:t>
        </x:is>
      </x:c>
      <x:c r="C180" t="inlineStr">
        <x:is>
          <x:t xml:space="preserve">004</x:t>
        </x:is>
      </x:c>
      <x:c r="D180" t="inlineStr">
        <x:is>
          <x:t xml:space="preserve">085410</x:t>
        </x:is>
      </x:c>
      <x:c r="E180" t="inlineStr">
        <x:is>
          <x:t xml:space="preserve">复试规则可预期性</x:t>
        </x:is>
      </x:c>
      <x:c r="F180" t="inlineStr">
        <x:is>
          <x:t xml:space="preserve">2D风险</x:t>
        </x:is>
      </x:c>
      <x:c r="G180" t="inlineStr">
        <x:is>
          <x:t xml:space="preserve">推免占比变化</x:t>
        </x:is>
      </x:c>
      <x:c r="H180" t="inlineStr">
        <x:is>
          <x:t xml:space="preserve">推免实录取:2024=1 → 2025=7;2027拟推免8/14(占比高)</x:t>
        </x:is>
      </x:c>
      <x:c r="I180" t="inlineStr">
        <x:is>
          <x:t xml:space="preserve">B-09</x:t>
        </x:is>
      </x:c>
      <x:c r="J180" t="inlineStr">
        <x:is>
          <x:t xml:space="preserve">S1</x:t>
        </x:is>
      </x:c>
      <x:c r="K180" t="inlineStr">
        <x:is>
          <x:t xml:space="preserve">不适用</x:t>
        </x:is>
      </x:c>
      <x:c r="L180" t="inlineStr">
        <x:is>
          <x:t xml:space="preserve">已证实</x:t>
        </x:is>
      </x:c>
      <x:c r="M180" t="inlineStr">
        <x:is>
          <x:t xml:space="preserve">年份/方向/计划口径须再核对；仅作为评分候选</x:t>
        </x:is>
      </x:c>
      <x:c r="N180" t="inlineStr">
        <x:is>
          <x:t xml:space="preserve">待人工评价</x:t>
        </x:is>
      </x:c>
    </x:row>
    <x:row r="181">
      <x:c r="A181" t="inlineStr">
        <x:is>
          <x:t xml:space="preserve">P09</x:t>
        </x:is>
      </x:c>
      <x:c r="B181" t="inlineStr">
        <x:is>
          <x:t xml:space="preserve">西南交通大学</x:t>
        </x:is>
      </x:c>
      <x:c r="C181" t="inlineStr">
        <x:is>
          <x:t xml:space="preserve">004</x:t>
        </x:is>
      </x:c>
      <x:c r="D181" t="inlineStr">
        <x:is>
          <x:t xml:space="preserve">085410</x:t>
        </x:is>
      </x:c>
      <x:c r="E181" t="inlineStr">
        <x:is>
          <x:t xml:space="preserve">导师招生路径证据</x:t>
        </x:is>
      </x:c>
      <x:c r="F181" t="inlineStr">
        <x:is>
          <x:t xml:space="preserve">2D风险</x:t>
        </x:is>
      </x:c>
      <x:c r="G181" t="inlineStr">
        <x:is>
          <x:t xml:space="preserve">统考计划年度变化</x:t>
        </x:is>
      </x:c>
      <x:c r="H181" t="inlineStr">
        <x:is>
          <x:t xml:space="preserve">拟招生(含推免):2024=8 → 2027=14(含推免8)→统考约6(推算)</x:t>
        </x:is>
      </x:c>
      <x:c r="I181" t="inlineStr">
        <x:is>
          <x:t xml:space="preserve">B-01;B-09</x:t>
        </x:is>
      </x:c>
      <x:c r="J181" t="inlineStr">
        <x:is>
          <x:t xml:space="preserve">S1</x:t>
        </x:is>
      </x:c>
      <x:c r="K181" t="inlineStr">
        <x:is>
          <x:t xml:space="preserve">不适用</x:t>
        </x:is>
      </x:c>
      <x:c r="L181" t="inlineStr">
        <x:is>
          <x:t xml:space="preserve">已证实</x:t>
        </x:is>
      </x:c>
      <x:c r="M181" t="inlineStr">
        <x:is>
          <x:t xml:space="preserve">年份/方向/计划口径须再核对；仅作为评分候选</x:t>
        </x:is>
      </x:c>
      <x:c r="N181" t="inlineStr">
        <x:is>
          <x:t xml:space="preserve">待人工评价</x:t>
        </x:is>
      </x:c>
    </x:row>
    <x:row r="182">
      <x:c r="A182" t="inlineStr">
        <x:is>
          <x:t xml:space="preserve">P09</x:t>
        </x:is>
      </x:c>
      <x:c r="B182" t="inlineStr">
        <x:is>
          <x:t xml:space="preserve">西南交通大学</x:t>
        </x:is>
      </x:c>
      <x:c r="C182" t="inlineStr">
        <x:is>
          <x:t xml:space="preserve">004</x:t>
        </x:is>
      </x:c>
      <x:c r="D182" t="inlineStr">
        <x:is>
          <x:t xml:space="preserve">085410</x:t>
        </x:is>
      </x:c>
      <x:c r="E182" t="inlineStr">
        <x:is>
          <x:t xml:space="preserve">导师招生路径证据</x:t>
        </x:is>
      </x:c>
      <x:c r="F182" t="inlineStr">
        <x:is>
          <x:t xml:space="preserve">2D风险</x:t>
        </x:is>
      </x:c>
      <x:c r="G182" t="inlineStr">
        <x:is>
          <x:t xml:space="preserve">推免占比变化</x:t>
        </x:is>
      </x:c>
      <x:c r="H182" t="inlineStr">
        <x:is>
          <x:t xml:space="preserve">推免实录取:2024=1 → 2025=7;2027拟推免8/14(占比高)</x:t>
        </x:is>
      </x:c>
      <x:c r="I182" t="inlineStr">
        <x:is>
          <x:t xml:space="preserve">B-09</x:t>
        </x:is>
      </x:c>
      <x:c r="J182" t="inlineStr">
        <x:is>
          <x:t xml:space="preserve">S1</x:t>
        </x:is>
      </x:c>
      <x:c r="K182" t="inlineStr">
        <x:is>
          <x:t xml:space="preserve">不适用</x:t>
        </x:is>
      </x:c>
      <x:c r="L182" t="inlineStr">
        <x:is>
          <x:t xml:space="preserve">已证实</x:t>
        </x:is>
      </x:c>
      <x:c r="M182" t="inlineStr">
        <x:is>
          <x:t xml:space="preserve">年份/方向/计划口径须再核对；仅作为评分候选</x:t>
        </x:is>
      </x:c>
      <x:c r="N182" t="inlineStr">
        <x:is>
          <x:t xml:space="preserve">待人工评价</x:t>
        </x:is>
      </x:c>
    </x:row>
    <x:row r="183">
      <x:c r="A183" t="inlineStr">
        <x:is>
          <x:t xml:space="preserve">P10</x:t>
        </x:is>
      </x:c>
      <x:c r="B183" t="inlineStr">
        <x:is>
          <x:t xml:space="preserve">西南交通大学</x:t>
        </x:is>
      </x:c>
      <x:c r="C183" t="inlineStr">
        <x:is>
          <x:t xml:space="preserve">048</x:t>
        </x:is>
      </x:c>
      <x:c r="D183" t="inlineStr">
        <x:is>
          <x:t xml:space="preserve">085410</x:t>
        </x:is>
      </x:c>
      <x:c r="E183" t="inlineStr">
        <x:is>
          <x:t xml:space="preserve">岗位与实习机会</x:t>
        </x:is>
      </x:c>
      <x:c r="F183" t="inlineStr">
        <x:is>
          <x:t xml:space="preserve">2D资源</x:t>
        </x:is>
      </x:c>
      <x:c r="G183" t="inlineStr">
        <x:is>
          <x:t xml:space="preserve">D4-就业与产业连接</x:t>
        </x:is>
      </x:c>
      <x:c r="H183" t="inlineStr">
        <x:is>
          <x:t xml:space="preserve">西南交通大学人工智能研究院(S3,研究院级): 现有博士后/博士/硕士研究生160余人;已培养上百名研究生,就业单位含微软亚洲研究院、华为、京东、百度、阿里巴巴、腾讯。</x:t>
        </x:is>
      </x:c>
      <x:c r="I183" t="inlineStr">
        <x:is>
          <x:t xml:space="preserve">S-SWJTU-J1</x:t>
        </x:is>
      </x:c>
      <x:c r="J183" t="inlineStr">
        <x:is>
          <x:t xml:space="preserve">S3</x:t>
        </x:is>
      </x:c>
      <x:c r="K183" t="inlineStr">
        <x:is>
          <x:t xml:space="preserve">P2</x:t>
        </x:is>
      </x:c>
      <x:c r="L183" t="inlineStr">
        <x:is>
          <x:t xml:space="preserve">已证实(研究院级)</x:t>
        </x:is>
      </x:c>
      <x:c r="M183" t="inlineStr">
        <x:is>
          <x:t xml:space="preserve">仅学院/专业级关联；未证该方向或导师可进入；不得自动打分</x:t>
        </x:is>
      </x:c>
      <x:c r="N183" t="inlineStr">
        <x:is>
          <x:t xml:space="preserve">待人工评价</x:t>
        </x:is>
      </x:c>
    </x:row>
    <x:row r="184">
      <x:c r="A184" t="inlineStr">
        <x:is>
          <x:t xml:space="preserve">P10</x:t>
        </x:is>
      </x:c>
      <x:c r="B184" t="inlineStr">
        <x:is>
          <x:t xml:space="preserve">西南交通大学</x:t>
        </x:is>
      </x:c>
      <x:c r="C184" t="inlineStr">
        <x:is>
          <x:t xml:space="preserve">048</x:t>
        </x:is>
      </x:c>
      <x:c r="D184" t="inlineStr">
        <x:is>
          <x:t xml:space="preserve">085410</x:t>
        </x:is>
      </x:c>
      <x:c r="E184" t="inlineStr">
        <x:is>
          <x:t xml:space="preserve">产业合作可参与性</x:t>
        </x:is>
      </x:c>
      <x:c r="F184" t="inlineStr">
        <x:is>
          <x:t xml:space="preserve">2D资源</x:t>
        </x:is>
      </x:c>
      <x:c r="G184" t="inlineStr">
        <x:is>
          <x:t xml:space="preserve">D2-科研与工程资源</x:t>
        </x:is>
      </x:c>
      <x:c r="H184" t="inlineStr">
        <x:is>
          <x:t xml:space="preserve">高性能计算平台(校级);人工智能研究院(校级平台);四川省云计算与智能技术高校重点实验室;可持续城市交通智能化教育部工程研究中心;综合交通大数据应用技术国家工程实验室;具身智能联合研究中心(与四川流联科技共建)。</x:t>
        </x:is>
      </x:c>
      <x:c r="I184" t="inlineStr">
        <x:is>
          <x:t xml:space="preserve">SWJTU-S6;SWJTU-S4;SWJTU-S8;SWJTU-S11</x:t>
        </x:is>
      </x:c>
      <x:c r="J184" t="inlineStr">
        <x:is>
          <x:t xml:space="preserve">S2</x:t>
        </x:is>
      </x:c>
      <x:c r="K184" t="inlineStr">
        <x:is>
          <x:t xml:space="preserve">P3</x:t>
        </x:is>
      </x:c>
      <x:c r="L184" t="inlineStr">
        <x:is>
          <x:t xml:space="preserve">已证实(资源存在)</x:t>
        </x:is>
      </x:c>
      <x:c r="M184" t="inlineStr">
        <x:is>
          <x:t xml:space="preserve">仅学院/专业级关联；未证该方向或导师可进入；不得自动打分</x:t>
        </x:is>
      </x:c>
      <x:c r="N184" t="inlineStr">
        <x:is>
          <x:t xml:space="preserve">待人工评价</x:t>
        </x:is>
      </x:c>
    </x:row>
    <x:row r="185">
      <x:c r="A185" t="inlineStr">
        <x:is>
          <x:t xml:space="preserve">P10</x:t>
        </x:is>
      </x:c>
      <x:c r="B185" t="inlineStr">
        <x:is>
          <x:t xml:space="preserve">西南交通大学</x:t>
        </x:is>
      </x:c>
      <x:c r="C185" t="inlineStr">
        <x:is>
          <x:t xml:space="preserve">048</x:t>
        </x:is>
      </x:c>
      <x:c r="D185" t="inlineStr">
        <x:is>
          <x:t xml:space="preserve">085410</x:t>
        </x:is>
      </x:c>
      <x:c r="E185" t="inlineStr">
        <x:is>
          <x:t xml:space="preserve">产业合作可参与性</x:t>
        </x:is>
      </x:c>
      <x:c r="F185" t="inlineStr">
        <x:is>
          <x:t xml:space="preserve">2D资源</x:t>
        </x:is>
      </x:c>
      <x:c r="G185" t="inlineStr">
        <x:is>
          <x:t xml:space="preserve">D3-硕士培养可进入性</x:t>
        </x:is>
      </x:c>
      <x:c r="H185" t="inlineStr">
        <x:is>
          <x:t xml:space="preserve">学院《专业实践》通知(S2): 全日制专硕入学满1年必修专业实践(半年至一年);学院设《人工智能产教融合实践基地》校级校内实践基地;集中答辩考核。</x:t>
        </x:is>
      </x:c>
      <x:c r="I185" t="inlineStr">
        <x:is>
          <x:t xml:space="preserve">S-SWJTU-P1</x:t>
        </x:is>
      </x:c>
      <x:c r="J185" t="inlineStr">
        <x:is>
          <x:t xml:space="preserve">S2</x:t>
        </x:is>
      </x:c>
      <x:c r="K185" t="inlineStr">
        <x:is>
          <x:t xml:space="preserve">P1</x:t>
        </x:is>
      </x:c>
      <x:c r="L185" t="inlineStr">
        <x:is>
          <x:t xml:space="preserve">已证实</x:t>
        </x:is>
      </x:c>
      <x:c r="M185" t="inlineStr">
        <x:is>
          <x:t xml:space="preserve">仅学院/专业级关联；未证该方向或导师可进入；不得自动打分</x:t>
        </x:is>
      </x:c>
      <x:c r="N185" t="inlineStr">
        <x:is>
          <x:t xml:space="preserve">待人工评价</x:t>
        </x:is>
      </x:c>
    </x:row>
    <x:row r="186">
      <x:c r="A186" t="inlineStr">
        <x:is>
          <x:t xml:space="preserve">P10</x:t>
        </x:is>
      </x:c>
      <x:c r="B186" t="inlineStr">
        <x:is>
          <x:t xml:space="preserve">西南交通大学</x:t>
        </x:is>
      </x:c>
      <x:c r="C186" t="inlineStr">
        <x:is>
          <x:t xml:space="preserve">048</x:t>
        </x:is>
      </x:c>
      <x:c r="D186" t="inlineStr">
        <x:is>
          <x:t xml:space="preserve">085410</x:t>
        </x:is>
      </x:c>
      <x:c r="E186" t="inlineStr">
        <x:is>
          <x:t xml:space="preserve">Agent/LLM能力积累</x:t>
        </x:is>
      </x:c>
      <x:c r="F186" t="inlineStr">
        <x:is>
          <x:t xml:space="preserve">2D资源</x:t>
        </x:is>
      </x:c>
      <x:c r="G186" t="inlineStr">
        <x:is>
          <x:t xml:space="preserve">D1-AI科研方向匹配</x:t>
        </x:is>
      </x:c>
      <x:c r="H186" t="inlineStr">
        <x:is>
          <x:t xml:space="preserve">人工智能研究院(郑宇兼职/李天瑞):大数据与AI/城市计算;四川省云计算与智能技术重点实验室(李天瑞);龚勋团队:通用视觉/行业交叉AI;彭博/胡节:CV/多模态;罗皓楠:具身智能/大模型Agent;田龙:机器人多模态抓取;王杰:多模态大模型/具身智能。学院承办EILM 2026具身智能与大模型国际会议。</x:t>
        </x:is>
      </x:c>
      <x:c r="I186" t="inlineStr">
        <x:is>
          <x:t xml:space="preserve">SWJTU-S4;SWJTU-S8;SWJTU-S19;SWJTU-S20</x:t>
        </x:is>
      </x:c>
      <x:c r="J186" t="inlineStr">
        <x:is>
          <x:t xml:space="preserve">S2</x:t>
        </x:is>
      </x:c>
      <x:c r="K186" t="inlineStr">
        <x:is>
          <x:t xml:space="preserve">P2</x:t>
        </x:is>
      </x:c>
      <x:c r="L186" t="inlineStr">
        <x:is>
          <x:t xml:space="preserve">已证实(方向)</x:t>
        </x:is>
      </x:c>
      <x:c r="M186" t="inlineStr">
        <x:is>
          <x:t xml:space="preserve">仅学院/专业级关联；未证该方向或导师可进入；不得自动打分</x:t>
        </x:is>
      </x:c>
      <x:c r="N186" t="inlineStr">
        <x:is>
          <x:t xml:space="preserve">待人工评价</x:t>
        </x:is>
      </x:c>
    </x:row>
    <x:row r="187">
      <x:c r="A187" t="inlineStr">
        <x:is>
          <x:t xml:space="preserve">P10</x:t>
        </x:is>
      </x:c>
      <x:c r="B187" t="inlineStr">
        <x:is>
          <x:t xml:space="preserve">西南交通大学</x:t>
        </x:is>
      </x:c>
      <x:c r="C187" t="inlineStr">
        <x:is>
          <x:t xml:space="preserve">048</x:t>
        </x:is>
      </x:c>
      <x:c r="D187" t="inlineStr">
        <x:is>
          <x:t xml:space="preserve">085410</x:t>
        </x:is>
      </x:c>
      <x:c r="E187" t="inlineStr">
        <x:is>
          <x:t xml:space="preserve">Agent/LLM能力积累</x:t>
        </x:is>
      </x:c>
      <x:c r="F187" t="inlineStr">
        <x:is>
          <x:t xml:space="preserve">2D资源</x:t>
        </x:is>
      </x:c>
      <x:c r="G187" t="inlineStr">
        <x:is>
          <x:t xml:space="preserve">D2-科研与工程资源</x:t>
        </x:is>
      </x:c>
      <x:c r="H187" t="inlineStr">
        <x:is>
          <x:t xml:space="preserve">高性能计算平台(校级);人工智能研究院(校级平台);四川省云计算与智能技术高校重点实验室;可持续城市交通智能化教育部工程研究中心;综合交通大数据应用技术国家工程实验室;具身智能联合研究中心(与四川流联科技共建)。</x:t>
        </x:is>
      </x:c>
      <x:c r="I187" t="inlineStr">
        <x:is>
          <x:t xml:space="preserve">SWJTU-S6;SWJTU-S4;SWJTU-S8;SWJTU-S11</x:t>
        </x:is>
      </x:c>
      <x:c r="J187" t="inlineStr">
        <x:is>
          <x:t xml:space="preserve">S2</x:t>
        </x:is>
      </x:c>
      <x:c r="K187" t="inlineStr">
        <x:is>
          <x:t xml:space="preserve">P3</x:t>
        </x:is>
      </x:c>
      <x:c r="L187" t="inlineStr">
        <x:is>
          <x:t xml:space="preserve">已证实(资源存在)</x:t>
        </x:is>
      </x:c>
      <x:c r="M187" t="inlineStr">
        <x:is>
          <x:t xml:space="preserve">仅学院/专业级关联；未证该方向或导师可进入；不得自动打分</x:t>
        </x:is>
      </x:c>
      <x:c r="N187" t="inlineStr">
        <x:is>
          <x:t xml:space="preserve">待人工评价</x:t>
        </x:is>
      </x:c>
    </x:row>
    <x:row r="188">
      <x:c r="A188" t="inlineStr">
        <x:is>
          <x:t xml:space="preserve">P10</x:t>
        </x:is>
      </x:c>
      <x:c r="B188" t="inlineStr">
        <x:is>
          <x:t xml:space="preserve">西南交通大学</x:t>
        </x:is>
      </x:c>
      <x:c r="C188" t="inlineStr">
        <x:is>
          <x:t xml:space="preserve">048</x:t>
        </x:is>
      </x:c>
      <x:c r="D188" t="inlineStr">
        <x:is>
          <x:t xml:space="preserve">085410</x:t>
        </x:is>
      </x:c>
      <x:c r="E188" t="inlineStr">
        <x:is>
          <x:t xml:space="preserve">具身/机器人发展空间</x:t>
        </x:is>
      </x:c>
      <x:c r="F188" t="inlineStr">
        <x:is>
          <x:t xml:space="preserve">2D资源</x:t>
        </x:is>
      </x:c>
      <x:c r="G188" t="inlineStr">
        <x:is>
          <x:t xml:space="preserve">D1-AI科研方向匹配</x:t>
        </x:is>
      </x:c>
      <x:c r="H188" t="inlineStr">
        <x:is>
          <x:t xml:space="preserve">人工智能研究院(郑宇兼职/李天瑞):大数据与AI/城市计算;四川省云计算与智能技术重点实验室(李天瑞);龚勋团队:通用视觉/行业交叉AI;彭博/胡节:CV/多模态;罗皓楠:具身智能/大模型Agent;田龙:机器人多模态抓取;王杰:多模态大模型/具身智能。学院承办EILM 2026具身智能与大模型国际会议。</x:t>
        </x:is>
      </x:c>
      <x:c r="I188" t="inlineStr">
        <x:is>
          <x:t xml:space="preserve">SWJTU-S4;SWJTU-S8;SWJTU-S19;SWJTU-S20</x:t>
        </x:is>
      </x:c>
      <x:c r="J188" t="inlineStr">
        <x:is>
          <x:t xml:space="preserve">S2</x:t>
        </x:is>
      </x:c>
      <x:c r="K188" t="inlineStr">
        <x:is>
          <x:t xml:space="preserve">P2</x:t>
        </x:is>
      </x:c>
      <x:c r="L188" t="inlineStr">
        <x:is>
          <x:t xml:space="preserve">已证实(方向)</x:t>
        </x:is>
      </x:c>
      <x:c r="M188" t="inlineStr">
        <x:is>
          <x:t xml:space="preserve">仅学院/专业级关联；未证该方向或导师可进入；不得自动打分</x:t>
        </x:is>
      </x:c>
      <x:c r="N188" t="inlineStr">
        <x:is>
          <x:t xml:space="preserve">待人工评价</x:t>
        </x:is>
      </x:c>
    </x:row>
    <x:row r="189">
      <x:c r="A189" t="inlineStr">
        <x:is>
          <x:t xml:space="preserve">P10</x:t>
        </x:is>
      </x:c>
      <x:c r="B189" t="inlineStr">
        <x:is>
          <x:t xml:space="preserve">西南交通大学</x:t>
        </x:is>
      </x:c>
      <x:c r="C189" t="inlineStr">
        <x:is>
          <x:t xml:space="preserve">048</x:t>
        </x:is>
      </x:c>
      <x:c r="D189" t="inlineStr">
        <x:is>
          <x:t xml:space="preserve">085410</x:t>
        </x:is>
      </x:c>
      <x:c r="E189" t="inlineStr">
        <x:is>
          <x:t xml:space="preserve">具身/机器人发展空间</x:t>
        </x:is>
      </x:c>
      <x:c r="F189" t="inlineStr">
        <x:is>
          <x:t xml:space="preserve">2D资源</x:t>
        </x:is>
      </x:c>
      <x:c r="G189" t="inlineStr">
        <x:is>
          <x:t xml:space="preserve">D2-科研与工程资源</x:t>
        </x:is>
      </x:c>
      <x:c r="H189" t="inlineStr">
        <x:is>
          <x:t xml:space="preserve">高性能计算平台(校级);人工智能研究院(校级平台);四川省云计算与智能技术高校重点实验室;可持续城市交通智能化教育部工程研究中心;综合交通大数据应用技术国家工程实验室;具身智能联合研究中心(与四川流联科技共建)。</x:t>
        </x:is>
      </x:c>
      <x:c r="I189" t="inlineStr">
        <x:is>
          <x:t xml:space="preserve">SWJTU-S6;SWJTU-S4;SWJTU-S8;SWJTU-S11</x:t>
        </x:is>
      </x:c>
      <x:c r="J189" t="inlineStr">
        <x:is>
          <x:t xml:space="preserve">S2</x:t>
        </x:is>
      </x:c>
      <x:c r="K189" t="inlineStr">
        <x:is>
          <x:t xml:space="preserve">P3</x:t>
        </x:is>
      </x:c>
      <x:c r="L189" t="inlineStr">
        <x:is>
          <x:t xml:space="preserve">已证实(资源存在)</x:t>
        </x:is>
      </x:c>
      <x:c r="M189" t="inlineStr">
        <x:is>
          <x:t xml:space="preserve">仅学院/专业级关联；未证该方向或导师可进入；不得自动打分</x:t>
        </x:is>
      </x:c>
      <x:c r="N189" t="inlineStr">
        <x:is>
          <x:t xml:space="preserve">待人工评价</x:t>
        </x:is>
      </x:c>
    </x:row>
    <x:row r="190">
      <x:c r="A190" t="inlineStr">
        <x:is>
          <x:t xml:space="preserve">P10</x:t>
        </x:is>
      </x:c>
      <x:c r="B190" t="inlineStr">
        <x:is>
          <x:t xml:space="preserve">西南交通大学</x:t>
        </x:is>
      </x:c>
      <x:c r="C190" t="inlineStr">
        <x:is>
          <x:t xml:space="preserve">048</x:t>
        </x:is>
      </x:c>
      <x:c r="D190" t="inlineStr">
        <x:is>
          <x:t xml:space="preserve">085410</x:t>
        </x:is>
      </x:c>
      <x:c r="E190" t="inlineStr">
        <x:is>
          <x:t xml:space="preserve">全日制统考路径明确性</x:t>
        </x:is>
      </x:c>
      <x:c r="F190" t="inlineStr">
        <x:is>
          <x:t xml:space="preserve">2D风险</x:t>
        </x:is>
      </x:c>
      <x:c r="G190" t="inlineStr">
        <x:is>
          <x:t xml:space="preserve">统考计划年度变化</x:t>
        </x:is>
      </x:c>
      <x:c r="H190" t="inlineStr">
        <x:is>
          <x:t xml:space="preserve">拟招生(含推免):2024=20(含推免10) → 2027=27(含推免13)→统考约14(推算)</x:t>
        </x:is>
      </x:c>
      <x:c r="I190" t="inlineStr">
        <x:is>
          <x:t xml:space="preserve">B-02;B-10</x:t>
        </x:is>
      </x:c>
      <x:c r="J190" t="inlineStr">
        <x:is>
          <x:t xml:space="preserve">S1</x:t>
        </x:is>
      </x:c>
      <x:c r="K190" t="inlineStr">
        <x:is>
          <x:t xml:space="preserve">不适用</x:t>
        </x:is>
      </x:c>
      <x:c r="L190" t="inlineStr">
        <x:is>
          <x:t xml:space="preserve">已证实</x:t>
        </x:is>
      </x:c>
      <x:c r="M190" t="inlineStr">
        <x:is>
          <x:t xml:space="preserve">年份/方向/计划口径须再核对；仅作为评分候选</x:t>
        </x:is>
      </x:c>
      <x:c r="N190" t="inlineStr">
        <x:is>
          <x:t xml:space="preserve">待人工评价</x:t>
        </x:is>
      </x:c>
    </x:row>
    <x:row r="191">
      <x:c r="A191" t="inlineStr">
        <x:is>
          <x:t xml:space="preserve">P10</x:t>
        </x:is>
      </x:c>
      <x:c r="B191" t="inlineStr">
        <x:is>
          <x:t xml:space="preserve">西南交通大学</x:t>
        </x:is>
      </x:c>
      <x:c r="C191" t="inlineStr">
        <x:is>
          <x:t xml:space="preserve">048</x:t>
        </x:is>
      </x:c>
      <x:c r="D191" t="inlineStr">
        <x:is>
          <x:t xml:space="preserve">085410</x:t>
        </x:is>
      </x:c>
      <x:c r="E191" t="inlineStr">
        <x:is>
          <x:t xml:space="preserve">全日制统考路径明确性</x:t>
        </x:is>
      </x:c>
      <x:c r="F191" t="inlineStr">
        <x:is>
          <x:t xml:space="preserve">2D风险</x:t>
        </x:is>
      </x:c>
      <x:c r="G191" t="inlineStr">
        <x:is>
          <x:t xml:space="preserve">推免占比变化</x:t>
        </x:is>
      </x:c>
      <x:c r="H191" t="inlineStr">
        <x:is>
          <x:t xml:space="preserve">推免实录取:2024=9 → 2025=13;2027拟推免13/27(约48%)</x:t>
        </x:is>
      </x:c>
      <x:c r="I191" t="inlineStr">
        <x:is>
          <x:t xml:space="preserve">B-10</x:t>
        </x:is>
      </x:c>
      <x:c r="J191" t="inlineStr">
        <x:is>
          <x:t xml:space="preserve">S1</x:t>
        </x:is>
      </x:c>
      <x:c r="K191" t="inlineStr">
        <x:is>
          <x:t xml:space="preserve">不适用</x:t>
        </x:is>
      </x:c>
      <x:c r="L191" t="inlineStr">
        <x:is>
          <x:t xml:space="preserve">已证实</x:t>
        </x:is>
      </x:c>
      <x:c r="M191" t="inlineStr">
        <x:is>
          <x:t xml:space="preserve">年份/方向/计划口径须再核对；仅作为评分候选</x:t>
        </x:is>
      </x:c>
      <x:c r="N191" t="inlineStr">
        <x:is>
          <x:t xml:space="preserve">待人工评价</x:t>
        </x:is>
      </x:c>
    </x:row>
    <x:row r="192">
      <x:c r="A192" t="inlineStr">
        <x:is>
          <x:t xml:space="preserve">P10</x:t>
        </x:is>
      </x:c>
      <x:c r="B192" t="inlineStr">
        <x:is>
          <x:t xml:space="preserve">西南交通大学</x:t>
        </x:is>
      </x:c>
      <x:c r="C192" t="inlineStr">
        <x:is>
          <x:t xml:space="preserve">048</x:t>
        </x:is>
      </x:c>
      <x:c r="D192" t="inlineStr">
        <x:is>
          <x:t xml:space="preserve">085410</x:t>
        </x:is>
      </x:c>
      <x:c r="E192" t="inlineStr">
        <x:is>
          <x:t xml:space="preserve">名额口径可靠性</x:t>
        </x:is>
      </x:c>
      <x:c r="F192" t="inlineStr">
        <x:is>
          <x:t xml:space="preserve">2D风险</x:t>
        </x:is>
      </x:c>
      <x:c r="G192" t="inlineStr">
        <x:is>
          <x:t xml:space="preserve">统考计划年度变化</x:t>
        </x:is>
      </x:c>
      <x:c r="H192" t="inlineStr">
        <x:is>
          <x:t xml:space="preserve">拟招生(含推免):2024=20(含推免10) → 2027=27(含推免13)→统考约14(推算)</x:t>
        </x:is>
      </x:c>
      <x:c r="I192" t="inlineStr">
        <x:is>
          <x:t xml:space="preserve">B-02;B-10</x:t>
        </x:is>
      </x:c>
      <x:c r="J192" t="inlineStr">
        <x:is>
          <x:t xml:space="preserve">S1</x:t>
        </x:is>
      </x:c>
      <x:c r="K192" t="inlineStr">
        <x:is>
          <x:t xml:space="preserve">不适用</x:t>
        </x:is>
      </x:c>
      <x:c r="L192" t="inlineStr">
        <x:is>
          <x:t xml:space="preserve">已证实</x:t>
        </x:is>
      </x:c>
      <x:c r="M192" t="inlineStr">
        <x:is>
          <x:t xml:space="preserve">年份/方向/计划口径须再核对；仅作为评分候选</x:t>
        </x:is>
      </x:c>
      <x:c r="N192" t="inlineStr">
        <x:is>
          <x:t xml:space="preserve">待人工评价</x:t>
        </x:is>
      </x:c>
    </x:row>
    <x:row r="193">
      <x:c r="A193" t="inlineStr">
        <x:is>
          <x:t xml:space="preserve">P10</x:t>
        </x:is>
      </x:c>
      <x:c r="B193" t="inlineStr">
        <x:is>
          <x:t xml:space="preserve">西南交通大学</x:t>
        </x:is>
      </x:c>
      <x:c r="C193" t="inlineStr">
        <x:is>
          <x:t xml:space="preserve">048</x:t>
        </x:is>
      </x:c>
      <x:c r="D193" t="inlineStr">
        <x:is>
          <x:t xml:space="preserve">085410</x:t>
        </x:is>
      </x:c>
      <x:c r="E193" t="inlineStr">
        <x:is>
          <x:t xml:space="preserve">名额口径可靠性</x:t>
        </x:is>
      </x:c>
      <x:c r="F193" t="inlineStr">
        <x:is>
          <x:t xml:space="preserve">2D风险</x:t>
        </x:is>
      </x:c>
      <x:c r="G193" t="inlineStr">
        <x:is>
          <x:t xml:space="preserve">推免占比变化</x:t>
        </x:is>
      </x:c>
      <x:c r="H193" t="inlineStr">
        <x:is>
          <x:t xml:space="preserve">推免实录取:2024=9 → 2025=13;2027拟推免13/27(约48%)</x:t>
        </x:is>
      </x:c>
      <x:c r="I193" t="inlineStr">
        <x:is>
          <x:t xml:space="preserve">B-10</x:t>
        </x:is>
      </x:c>
      <x:c r="J193" t="inlineStr">
        <x:is>
          <x:t xml:space="preserve">S1</x:t>
        </x:is>
      </x:c>
      <x:c r="K193" t="inlineStr">
        <x:is>
          <x:t xml:space="preserve">不适用</x:t>
        </x:is>
      </x:c>
      <x:c r="L193" t="inlineStr">
        <x:is>
          <x:t xml:space="preserve">已证实</x:t>
        </x:is>
      </x:c>
      <x:c r="M193" t="inlineStr">
        <x:is>
          <x:t xml:space="preserve">年份/方向/计划口径须再核对；仅作为评分候选</x:t>
        </x:is>
      </x:c>
      <x:c r="N193" t="inlineStr">
        <x:is>
          <x:t xml:space="preserve">待人工评价</x:t>
        </x:is>
      </x:c>
    </x:row>
    <x:row r="194">
      <x:c r="A194" t="inlineStr">
        <x:is>
          <x:t xml:space="preserve">P10</x:t>
        </x:is>
      </x:c>
      <x:c r="B194" t="inlineStr">
        <x:is>
          <x:t xml:space="preserve">西南交通大学</x:t>
        </x:is>
      </x:c>
      <x:c r="C194" t="inlineStr">
        <x:is>
          <x:t xml:space="preserve">048</x:t>
        </x:is>
      </x:c>
      <x:c r="D194" t="inlineStr">
        <x:is>
          <x:t xml:space="preserve">085410</x:t>
        </x:is>
      </x:c>
      <x:c r="E194" t="inlineStr">
        <x:is>
          <x:t xml:space="preserve">初复试科目稳定性</x:t>
        </x:is>
      </x:c>
      <x:c r="F194" t="inlineStr">
        <x:is>
          <x:t xml:space="preserve">2D风险</x:t>
        </x:is>
      </x:c>
      <x:c r="G194" t="inlineStr">
        <x:is>
          <x:t xml:space="preserve">统考计划年度变化</x:t>
        </x:is>
      </x:c>
      <x:c r="H194" t="inlineStr">
        <x:is>
          <x:t xml:space="preserve">拟招生(含推免):2024=20(含推免10) → 2027=27(含推免13)→统考约14(推算)</x:t>
        </x:is>
      </x:c>
      <x:c r="I194" t="inlineStr">
        <x:is>
          <x:t xml:space="preserve">B-02;B-10</x:t>
        </x:is>
      </x:c>
      <x:c r="J194" t="inlineStr">
        <x:is>
          <x:t xml:space="preserve">S1</x:t>
        </x:is>
      </x:c>
      <x:c r="K194" t="inlineStr">
        <x:is>
          <x:t xml:space="preserve">不适用</x:t>
        </x:is>
      </x:c>
      <x:c r="L194" t="inlineStr">
        <x:is>
          <x:t xml:space="preserve">已证实</x:t>
        </x:is>
      </x:c>
      <x:c r="M194" t="inlineStr">
        <x:is>
          <x:t xml:space="preserve">年份/方向/计划口径须再核对；仅作为评分候选</x:t>
        </x:is>
      </x:c>
      <x:c r="N194" t="inlineStr">
        <x:is>
          <x:t xml:space="preserve">待人工评价</x:t>
        </x:is>
      </x:c>
    </x:row>
    <x:row r="195">
      <x:c r="A195" t="inlineStr">
        <x:is>
          <x:t xml:space="preserve">P10</x:t>
        </x:is>
      </x:c>
      <x:c r="B195" t="inlineStr">
        <x:is>
          <x:t xml:space="preserve">西南交通大学</x:t>
        </x:is>
      </x:c>
      <x:c r="C195" t="inlineStr">
        <x:is>
          <x:t xml:space="preserve">048</x:t>
        </x:is>
      </x:c>
      <x:c r="D195" t="inlineStr">
        <x:is>
          <x:t xml:space="preserve">085410</x:t>
        </x:is>
      </x:c>
      <x:c r="E195" t="inlineStr">
        <x:is>
          <x:t xml:space="preserve">初复试科目稳定性</x:t>
        </x:is>
      </x:c>
      <x:c r="F195" t="inlineStr">
        <x:is>
          <x:t xml:space="preserve">2D风险</x:t>
        </x:is>
      </x:c>
      <x:c r="G195" t="inlineStr">
        <x:is>
          <x:t xml:space="preserve">推免占比变化</x:t>
        </x:is>
      </x:c>
      <x:c r="H195" t="inlineStr">
        <x:is>
          <x:t xml:space="preserve">推免实录取:2024=9 → 2025=13;2027拟推免13/27(约48%)</x:t>
        </x:is>
      </x:c>
      <x:c r="I195" t="inlineStr">
        <x:is>
          <x:t xml:space="preserve">B-10</x:t>
        </x:is>
      </x:c>
      <x:c r="J195" t="inlineStr">
        <x:is>
          <x:t xml:space="preserve">S1</x:t>
        </x:is>
      </x:c>
      <x:c r="K195" t="inlineStr">
        <x:is>
          <x:t xml:space="preserve">不适用</x:t>
        </x:is>
      </x:c>
      <x:c r="L195" t="inlineStr">
        <x:is>
          <x:t xml:space="preserve">已证实</x:t>
        </x:is>
      </x:c>
      <x:c r="M195" t="inlineStr">
        <x:is>
          <x:t xml:space="preserve">年份/方向/计划口径须再核对；仅作为评分候选</x:t>
        </x:is>
      </x:c>
      <x:c r="N195" t="inlineStr">
        <x:is>
          <x:t xml:space="preserve">待人工评价</x:t>
        </x:is>
      </x:c>
    </x:row>
    <x:row r="196">
      <x:c r="A196" t="inlineStr">
        <x:is>
          <x:t xml:space="preserve">P10</x:t>
        </x:is>
      </x:c>
      <x:c r="B196" t="inlineStr">
        <x:is>
          <x:t xml:space="preserve">西南交通大学</x:t>
        </x:is>
      </x:c>
      <x:c r="C196" t="inlineStr">
        <x:is>
          <x:t xml:space="preserve">048</x:t>
        </x:is>
      </x:c>
      <x:c r="D196" t="inlineStr">
        <x:is>
          <x:t xml:space="preserve">085410</x:t>
        </x:is>
      </x:c>
      <x:c r="E196" t="inlineStr">
        <x:is>
          <x:t xml:space="preserve">复试规则可预期性</x:t>
        </x:is>
      </x:c>
      <x:c r="F196" t="inlineStr">
        <x:is>
          <x:t xml:space="preserve">2D风险</x:t>
        </x:is>
      </x:c>
      <x:c r="G196" t="inlineStr">
        <x:is>
          <x:t xml:space="preserve">统考计划年度变化</x:t>
        </x:is>
      </x:c>
      <x:c r="H196" t="inlineStr">
        <x:is>
          <x:t xml:space="preserve">拟招生(含推免):2024=20(含推免10) → 2027=27(含推免13)→统考约14(推算)</x:t>
        </x:is>
      </x:c>
      <x:c r="I196" t="inlineStr">
        <x:is>
          <x:t xml:space="preserve">B-02;B-10</x:t>
        </x:is>
      </x:c>
      <x:c r="J196" t="inlineStr">
        <x:is>
          <x:t xml:space="preserve">S1</x:t>
        </x:is>
      </x:c>
      <x:c r="K196" t="inlineStr">
        <x:is>
          <x:t xml:space="preserve">不适用</x:t>
        </x:is>
      </x:c>
      <x:c r="L196" t="inlineStr">
        <x:is>
          <x:t xml:space="preserve">已证实</x:t>
        </x:is>
      </x:c>
      <x:c r="M196" t="inlineStr">
        <x:is>
          <x:t xml:space="preserve">年份/方向/计划口径须再核对；仅作为评分候选</x:t>
        </x:is>
      </x:c>
      <x:c r="N196" t="inlineStr">
        <x:is>
          <x:t xml:space="preserve">待人工评价</x:t>
        </x:is>
      </x:c>
    </x:row>
    <x:row r="197">
      <x:c r="A197" t="inlineStr">
        <x:is>
          <x:t xml:space="preserve">P10</x:t>
        </x:is>
      </x:c>
      <x:c r="B197" t="inlineStr">
        <x:is>
          <x:t xml:space="preserve">西南交通大学</x:t>
        </x:is>
      </x:c>
      <x:c r="C197" t="inlineStr">
        <x:is>
          <x:t xml:space="preserve">048</x:t>
        </x:is>
      </x:c>
      <x:c r="D197" t="inlineStr">
        <x:is>
          <x:t xml:space="preserve">085410</x:t>
        </x:is>
      </x:c>
      <x:c r="E197" t="inlineStr">
        <x:is>
          <x:t xml:space="preserve">复试规则可预期性</x:t>
        </x:is>
      </x:c>
      <x:c r="F197" t="inlineStr">
        <x:is>
          <x:t xml:space="preserve">2D风险</x:t>
        </x:is>
      </x:c>
      <x:c r="G197" t="inlineStr">
        <x:is>
          <x:t xml:space="preserve">推免占比变化</x:t>
        </x:is>
      </x:c>
      <x:c r="H197" t="inlineStr">
        <x:is>
          <x:t xml:space="preserve">推免实录取:2024=9 → 2025=13;2027拟推免13/27(约48%)</x:t>
        </x:is>
      </x:c>
      <x:c r="I197" t="inlineStr">
        <x:is>
          <x:t xml:space="preserve">B-10</x:t>
        </x:is>
      </x:c>
      <x:c r="J197" t="inlineStr">
        <x:is>
          <x:t xml:space="preserve">S1</x:t>
        </x:is>
      </x:c>
      <x:c r="K197" t="inlineStr">
        <x:is>
          <x:t xml:space="preserve">不适用</x:t>
        </x:is>
      </x:c>
      <x:c r="L197" t="inlineStr">
        <x:is>
          <x:t xml:space="preserve">已证实</x:t>
        </x:is>
      </x:c>
      <x:c r="M197" t="inlineStr">
        <x:is>
          <x:t xml:space="preserve">年份/方向/计划口径须再核对；仅作为评分候选</x:t>
        </x:is>
      </x:c>
      <x:c r="N197" t="inlineStr">
        <x:is>
          <x:t xml:space="preserve">待人工评价</x:t>
        </x:is>
      </x:c>
    </x:row>
    <x:row r="198">
      <x:c r="A198" t="inlineStr">
        <x:is>
          <x:t xml:space="preserve">P10</x:t>
        </x:is>
      </x:c>
      <x:c r="B198" t="inlineStr">
        <x:is>
          <x:t xml:space="preserve">西南交通大学</x:t>
        </x:is>
      </x:c>
      <x:c r="C198" t="inlineStr">
        <x:is>
          <x:t xml:space="preserve">048</x:t>
        </x:is>
      </x:c>
      <x:c r="D198" t="inlineStr">
        <x:is>
          <x:t xml:space="preserve">085410</x:t>
        </x:is>
      </x:c>
      <x:c r="E198" t="inlineStr">
        <x:is>
          <x:t xml:space="preserve">导师招生路径证据</x:t>
        </x:is>
      </x:c>
      <x:c r="F198" t="inlineStr">
        <x:is>
          <x:t xml:space="preserve">2D资源</x:t>
        </x:is>
      </x:c>
      <x:c r="G198" t="inlineStr">
        <x:is>
          <x:t xml:space="preserve">D3-硕士培养可进入性</x:t>
        </x:is>
      </x:c>
      <x:c r="H198" t="inlineStr">
        <x:is>
          <x:t xml:space="preserve">学院《专业实践》通知(S2): 全日制专硕入学满1年必修专业实践(半年至一年);学院设《人工智能产教融合实践基地》校级校内实践基地;集中答辩考核。</x:t>
        </x:is>
      </x:c>
      <x:c r="I198" t="inlineStr">
        <x:is>
          <x:t xml:space="preserve">S-SWJTU-P1</x:t>
        </x:is>
      </x:c>
      <x:c r="J198" t="inlineStr">
        <x:is>
          <x:t xml:space="preserve">S2</x:t>
        </x:is>
      </x:c>
      <x:c r="K198" t="inlineStr">
        <x:is>
          <x:t xml:space="preserve">P1</x:t>
        </x:is>
      </x:c>
      <x:c r="L198" t="inlineStr">
        <x:is>
          <x:t xml:space="preserve">已证实</x:t>
        </x:is>
      </x:c>
      <x:c r="M198" t="inlineStr">
        <x:is>
          <x:t xml:space="preserve">仅学院/专业级关联；未证该方向或导师可进入；不得自动打分</x:t>
        </x:is>
      </x:c>
      <x:c r="N198" t="inlineStr">
        <x:is>
          <x:t xml:space="preserve">待人工评价</x:t>
        </x:is>
      </x:c>
    </x:row>
    <x:row r="199">
      <x:c r="A199" t="inlineStr">
        <x:is>
          <x:t xml:space="preserve">P10</x:t>
        </x:is>
      </x:c>
      <x:c r="B199" t="inlineStr">
        <x:is>
          <x:t xml:space="preserve">西南交通大学</x:t>
        </x:is>
      </x:c>
      <x:c r="C199" t="inlineStr">
        <x:is>
          <x:t xml:space="preserve">048</x:t>
        </x:is>
      </x:c>
      <x:c r="D199" t="inlineStr">
        <x:is>
          <x:t xml:space="preserve">085410</x:t>
        </x:is>
      </x:c>
      <x:c r="E199" t="inlineStr">
        <x:is>
          <x:t xml:space="preserve">导师招生路径证据</x:t>
        </x:is>
      </x:c>
      <x:c r="F199" t="inlineStr">
        <x:is>
          <x:t xml:space="preserve">2D资源</x:t>
        </x:is>
      </x:c>
      <x:c r="G199" t="inlineStr">
        <x:is>
          <x:t xml:space="preserve">D3-硕士培养可进入性</x:t>
        </x:is>
      </x:c>
      <x:c r="H199" t="inlineStr">
        <x:is>
          <x:t xml:space="preserve">学院《2025级研究生补修课程说明》(S2): 专业学位硕士(同等学力/跨专业)需补修数据结构、计算机组成原理、计算机网络。</x:t>
        </x:is>
      </x:c>
      <x:c r="I199" t="inlineStr">
        <x:is>
          <x:t xml:space="preserve">S-SWJTU-P2</x:t>
        </x:is>
      </x:c>
      <x:c r="J199" t="inlineStr">
        <x:is>
          <x:t xml:space="preserve">S2</x:t>
        </x:is>
      </x:c>
      <x:c r="K199" t="inlineStr">
        <x:is>
          <x:t xml:space="preserve">P1</x:t>
        </x:is>
      </x:c>
      <x:c r="L199" t="inlineStr">
        <x:is>
          <x:t xml:space="preserve">已证实</x:t>
        </x:is>
      </x:c>
      <x:c r="M199" t="inlineStr">
        <x:is>
          <x:t xml:space="preserve">仅学院/专业级关联；未证该方向或导师可进入；不得自动打分</x:t>
        </x:is>
      </x:c>
      <x:c r="N199" t="inlineStr">
        <x:is>
          <x:t xml:space="preserve">待人工评价</x:t>
        </x:is>
      </x:c>
    </x:row>
    <x:row r="200">
      <x:c r="A200" t="inlineStr">
        <x:is>
          <x:t xml:space="preserve">P10</x:t>
        </x:is>
      </x:c>
      <x:c r="B200" t="inlineStr">
        <x:is>
          <x:t xml:space="preserve">西南交通大学</x:t>
        </x:is>
      </x:c>
      <x:c r="C200" t="inlineStr">
        <x:is>
          <x:t xml:space="preserve">048</x:t>
        </x:is>
      </x:c>
      <x:c r="D200" t="inlineStr">
        <x:is>
          <x:t xml:space="preserve">085410</x:t>
        </x:is>
      </x:c>
      <x:c r="E200" t="inlineStr">
        <x:is>
          <x:t xml:space="preserve">导师招生路径证据</x:t>
        </x:is>
      </x:c>
      <x:c r="F200" t="inlineStr">
        <x:is>
          <x:t xml:space="preserve">2D风险</x:t>
        </x:is>
      </x:c>
      <x:c r="G200" t="inlineStr">
        <x:is>
          <x:t xml:space="preserve">统考计划年度变化</x:t>
        </x:is>
      </x:c>
      <x:c r="H200" t="inlineStr">
        <x:is>
          <x:t xml:space="preserve">拟招生(含推免):2024=20(含推免10) → 2027=27(含推免13)→统考约14(推算)</x:t>
        </x:is>
      </x:c>
      <x:c r="I200" t="inlineStr">
        <x:is>
          <x:t xml:space="preserve">B-02;B-10</x:t>
        </x:is>
      </x:c>
      <x:c r="J200" t="inlineStr">
        <x:is>
          <x:t xml:space="preserve">S1</x:t>
        </x:is>
      </x:c>
      <x:c r="K200" t="inlineStr">
        <x:is>
          <x:t xml:space="preserve">不适用</x:t>
        </x:is>
      </x:c>
      <x:c r="L200" t="inlineStr">
        <x:is>
          <x:t xml:space="preserve">已证实</x:t>
        </x:is>
      </x:c>
      <x:c r="M200" t="inlineStr">
        <x:is>
          <x:t xml:space="preserve">年份/方向/计划口径须再核对；仅作为评分候选</x:t>
        </x:is>
      </x:c>
      <x:c r="N200" t="inlineStr">
        <x:is>
          <x:t xml:space="preserve">待人工评价</x:t>
        </x:is>
      </x:c>
    </x:row>
    <x:row r="201">
      <x:c r="A201" t="inlineStr">
        <x:is>
          <x:t xml:space="preserve">P10</x:t>
        </x:is>
      </x:c>
      <x:c r="B201" t="inlineStr">
        <x:is>
          <x:t xml:space="preserve">西南交通大学</x:t>
        </x:is>
      </x:c>
      <x:c r="C201" t="inlineStr">
        <x:is>
          <x:t xml:space="preserve">048</x:t>
        </x:is>
      </x:c>
      <x:c r="D201" t="inlineStr">
        <x:is>
          <x:t xml:space="preserve">085410</x:t>
        </x:is>
      </x:c>
      <x:c r="E201" t="inlineStr">
        <x:is>
          <x:t xml:space="preserve">导师招生路径证据</x:t>
        </x:is>
      </x:c>
      <x:c r="F201" t="inlineStr">
        <x:is>
          <x:t xml:space="preserve">2D风险</x:t>
        </x:is>
      </x:c>
      <x:c r="G201" t="inlineStr">
        <x:is>
          <x:t xml:space="preserve">推免占比变化</x:t>
        </x:is>
      </x:c>
      <x:c r="H201" t="inlineStr">
        <x:is>
          <x:t xml:space="preserve">推免实录取:2024=9 → 2025=13;2027拟推免13/27(约48%)</x:t>
        </x:is>
      </x:c>
      <x:c r="I201" t="inlineStr">
        <x:is>
          <x:t xml:space="preserve">B-10</x:t>
        </x:is>
      </x:c>
      <x:c r="J201" t="inlineStr">
        <x:is>
          <x:t xml:space="preserve">S1</x:t>
        </x:is>
      </x:c>
      <x:c r="K201" t="inlineStr">
        <x:is>
          <x:t xml:space="preserve">不适用</x:t>
        </x:is>
      </x:c>
      <x:c r="L201" t="inlineStr">
        <x:is>
          <x:t xml:space="preserve">已证实</x:t>
        </x:is>
      </x:c>
      <x:c r="M201" t="inlineStr">
        <x:is>
          <x:t xml:space="preserve">年份/方向/计划口径须再核对；仅作为评分候选</x:t>
        </x:is>
      </x:c>
      <x:c r="N201" t="inlineStr">
        <x:is>
          <x:t xml:space="preserve">待人工评价</x:t>
        </x:is>
      </x:c>
    </x:row>
    <x:row r="202">
      <x:c r="A202" t="inlineStr">
        <x:is>
          <x:t xml:space="preserve">P10</x:t>
        </x:is>
      </x:c>
      <x:c r="B202" t="inlineStr">
        <x:is>
          <x:t xml:space="preserve">西南交通大学</x:t>
        </x:is>
      </x:c>
      <x:c r="C202" t="inlineStr">
        <x:is>
          <x:t xml:space="preserve">048</x:t>
        </x:is>
      </x:c>
      <x:c r="D202" t="inlineStr">
        <x:is>
          <x:t xml:space="preserve">085410</x:t>
        </x:is>
      </x:c>
      <x:c r="E202" t="inlineStr">
        <x:is>
          <x:t xml:space="preserve">实践机制适用性</x:t>
        </x:is>
      </x:c>
      <x:c r="F202" t="inlineStr">
        <x:is>
          <x:t xml:space="preserve">2D资源</x:t>
        </x:is>
      </x:c>
      <x:c r="G202" t="inlineStr">
        <x:is>
          <x:t xml:space="preserve">D3-硕士培养可进入性</x:t>
        </x:is>
      </x:c>
      <x:c r="H202" t="inlineStr">
        <x:is>
          <x:t xml:space="preserve">学院《专业实践》通知(S2): 全日制专硕入学满1年必修专业实践(半年至一年);学院设《人工智能产教融合实践基地》校级校内实践基地;集中答辩考核。</x:t>
        </x:is>
      </x:c>
      <x:c r="I202" t="inlineStr">
        <x:is>
          <x:t xml:space="preserve">S-SWJTU-P1</x:t>
        </x:is>
      </x:c>
      <x:c r="J202" t="inlineStr">
        <x:is>
          <x:t xml:space="preserve">S2</x:t>
        </x:is>
      </x:c>
      <x:c r="K202" t="inlineStr">
        <x:is>
          <x:t xml:space="preserve">P1</x:t>
        </x:is>
      </x:c>
      <x:c r="L202" t="inlineStr">
        <x:is>
          <x:t xml:space="preserve">已证实</x:t>
        </x:is>
      </x:c>
      <x:c r="M202" t="inlineStr">
        <x:is>
          <x:t xml:space="preserve">仅学院/专业级关联；未证该方向或导师可进入；不得自动打分</x:t>
        </x:is>
      </x:c>
      <x:c r="N202" t="inlineStr">
        <x:is>
          <x:t xml:space="preserve">待人工评价</x:t>
        </x:is>
      </x:c>
    </x:row>
    <x:row r="203">
      <x:c r="A203" t="inlineStr">
        <x:is>
          <x:t xml:space="preserve">P10</x:t>
        </x:is>
      </x:c>
      <x:c r="B203" t="inlineStr">
        <x:is>
          <x:t xml:space="preserve">西南交通大学</x:t>
        </x:is>
      </x:c>
      <x:c r="C203" t="inlineStr">
        <x:is>
          <x:t xml:space="preserve">048</x:t>
        </x:is>
      </x:c>
      <x:c r="D203" t="inlineStr">
        <x:is>
          <x:t xml:space="preserve">085410</x:t>
        </x:is>
      </x:c>
      <x:c r="E203" t="inlineStr">
        <x:is>
          <x:t xml:space="preserve">实践机制适用性</x:t>
        </x:is>
      </x:c>
      <x:c r="F203" t="inlineStr">
        <x:is>
          <x:t xml:space="preserve">2D资源</x:t>
        </x:is>
      </x:c>
      <x:c r="G203" t="inlineStr">
        <x:is>
          <x:t xml:space="preserve">D3-硕士培养可进入性</x:t>
        </x:is>
      </x:c>
      <x:c r="H203" t="inlineStr">
        <x:is>
          <x:t xml:space="preserve">学院《2025级研究生补修课程说明》(S2): 专业学位硕士(同等学力/跨专业)需补修数据结构、计算机组成原理、计算机网络。</x:t>
        </x:is>
      </x:c>
      <x:c r="I203" t="inlineStr">
        <x:is>
          <x:t xml:space="preserve">S-SWJTU-P2</x:t>
        </x:is>
      </x:c>
      <x:c r="J203" t="inlineStr">
        <x:is>
          <x:t xml:space="preserve">S2</x:t>
        </x:is>
      </x:c>
      <x:c r="K203" t="inlineStr">
        <x:is>
          <x:t xml:space="preserve">P1</x:t>
        </x:is>
      </x:c>
      <x:c r="L203" t="inlineStr">
        <x:is>
          <x:t xml:space="preserve">已证实</x:t>
        </x:is>
      </x:c>
      <x:c r="M203" t="inlineStr">
        <x:is>
          <x:t xml:space="preserve">仅学院/专业级关联；未证该方向或导师可进入；不得自动打分</x:t>
        </x:is>
      </x:c>
      <x:c r="N203" t="inlineStr">
        <x:is>
          <x:t xml:space="preserve">待人工评价</x:t>
        </x:is>
      </x:c>
    </x:row>
    <x:row r="204">
      <x:c r="A204" t="inlineStr">
        <x:is>
          <x:t xml:space="preserve">P10</x:t>
        </x:is>
      </x:c>
      <x:c r="B204" t="inlineStr">
        <x:is>
          <x:t xml:space="preserve">西南交通大学</x:t>
        </x:is>
      </x:c>
      <x:c r="C204" t="inlineStr">
        <x:is>
          <x:t xml:space="preserve">048</x:t>
        </x:is>
      </x:c>
      <x:c r="D204" t="inlineStr">
        <x:is>
          <x:t xml:space="preserve">085410</x:t>
        </x:is>
      </x:c>
      <x:c r="E204" t="inlineStr">
        <x:is>
          <x:t xml:space="preserve">平台资源可进入性</x:t>
        </x:is>
      </x:c>
      <x:c r="F204" t="inlineStr">
        <x:is>
          <x:t xml:space="preserve">2D资源</x:t>
        </x:is>
      </x:c>
      <x:c r="G204" t="inlineStr">
        <x:is>
          <x:t xml:space="preserve">D2-科研与工程资源</x:t>
        </x:is>
      </x:c>
      <x:c r="H204" t="inlineStr">
        <x:is>
          <x:t xml:space="preserve">高性能计算平台(校级);人工智能研究院(校级平台);四川省云计算与智能技术高校重点实验室;可持续城市交通智能化教育部工程研究中心;综合交通大数据应用技术国家工程实验室;具身智能联合研究中心(与四川流联科技共建)。</x:t>
        </x:is>
      </x:c>
      <x:c r="I204" t="inlineStr">
        <x:is>
          <x:t xml:space="preserve">SWJTU-S6;SWJTU-S4;SWJTU-S8;SWJTU-S11</x:t>
        </x:is>
      </x:c>
      <x:c r="J204" t="inlineStr">
        <x:is>
          <x:t xml:space="preserve">S2</x:t>
        </x:is>
      </x:c>
      <x:c r="K204" t="inlineStr">
        <x:is>
          <x:t xml:space="preserve">P3</x:t>
        </x:is>
      </x:c>
      <x:c r="L204" t="inlineStr">
        <x:is>
          <x:t xml:space="preserve">已证实(资源存在)</x:t>
        </x:is>
      </x:c>
      <x:c r="M204" t="inlineStr">
        <x:is>
          <x:t xml:space="preserve">仅学院/专业级关联；未证该方向或导师可进入；不得自动打分</x:t>
        </x:is>
      </x:c>
      <x:c r="N204" t="inlineStr">
        <x:is>
          <x:t xml:space="preserve">待人工评价</x:t>
        </x:is>
      </x:c>
    </x:row>
    <x:row r="205">
      <x:c r="A205" t="inlineStr">
        <x:is>
          <x:t xml:space="preserve">P10</x:t>
        </x:is>
      </x:c>
      <x:c r="B205" t="inlineStr">
        <x:is>
          <x:t xml:space="preserve">西南交通大学</x:t>
        </x:is>
      </x:c>
      <x:c r="C205" t="inlineStr">
        <x:is>
          <x:t xml:space="preserve">048</x:t>
        </x:is>
      </x:c>
      <x:c r="D205" t="inlineStr">
        <x:is>
          <x:t xml:space="preserve">085410</x:t>
        </x:is>
      </x:c>
      <x:c r="E205" t="inlineStr">
        <x:is>
          <x:t xml:space="preserve">城市AI岗位生态</x:t>
        </x:is>
      </x:c>
      <x:c r="F205" t="inlineStr">
        <x:is>
          <x:t xml:space="preserve">2D资源</x:t>
        </x:is>
      </x:c>
      <x:c r="G205" t="inlineStr">
        <x:is>
          <x:t xml:space="preserve">D4-就业与产业连接</x:t>
        </x:is>
      </x:c>
      <x:c r="H205" t="inlineStr">
        <x:is>
          <x:t xml:space="preserve">西南交通大学人工智能研究院(S3,研究院级): 现有博士后/博士/硕士研究生160余人;已培养上百名研究生,就业单位含微软亚洲研究院、华为、京东、百度、阿里巴巴、腾讯。</x:t>
        </x:is>
      </x:c>
      <x:c r="I205" t="inlineStr">
        <x:is>
          <x:t xml:space="preserve">S-SWJTU-J1</x:t>
        </x:is>
      </x:c>
      <x:c r="J205" t="inlineStr">
        <x:is>
          <x:t xml:space="preserve">S3</x:t>
        </x:is>
      </x:c>
      <x:c r="K205" t="inlineStr">
        <x:is>
          <x:t xml:space="preserve">P2</x:t>
        </x:is>
      </x:c>
      <x:c r="L205" t="inlineStr">
        <x:is>
          <x:t xml:space="preserve">已证实(研究院级)</x:t>
        </x:is>
      </x:c>
      <x:c r="M205" t="inlineStr">
        <x:is>
          <x:t xml:space="preserve">仅学院/专业级关联；未证该方向或导师可进入；不得自动打分</x:t>
        </x:is>
      </x:c>
      <x:c r="N205" t="inlineStr">
        <x:is>
          <x:t xml:space="preserve">待人工评价</x:t>
        </x:is>
      </x:c>
    </x:row>
    <x:row r="206">
      <x:c r="A206" t="inlineStr">
        <x:is>
          <x:t xml:space="preserve">P10</x:t>
        </x:is>
      </x:c>
      <x:c r="B206" t="inlineStr">
        <x:is>
          <x:t xml:space="preserve">西南交通大学</x:t>
        </x:is>
      </x:c>
      <x:c r="C206" t="inlineStr">
        <x:is>
          <x:t xml:space="preserve">048</x:t>
        </x:is>
      </x:c>
      <x:c r="D206" t="inlineStr">
        <x:is>
          <x:t xml:space="preserve">085410</x:t>
        </x:is>
      </x:c>
      <x:c r="E206" t="inlineStr">
        <x:is>
          <x:t xml:space="preserve">实习合作半径</x:t>
        </x:is>
      </x:c>
      <x:c r="F206" t="inlineStr">
        <x:is>
          <x:t xml:space="preserve">2D资源</x:t>
        </x:is>
      </x:c>
      <x:c r="G206" t="inlineStr">
        <x:is>
          <x:t xml:space="preserve">D4-就业与产业连接</x:t>
        </x:is>
      </x:c>
      <x:c r="H206" t="inlineStr">
        <x:is>
          <x:t xml:space="preserve">西南交通大学人工智能研究院(S3,研究院级): 现有博士后/博士/硕士研究生160余人;已培养上百名研究生,就业单位含微软亚洲研究院、华为、京东、百度、阿里巴巴、腾讯。</x:t>
        </x:is>
      </x:c>
      <x:c r="I206" t="inlineStr">
        <x:is>
          <x:t xml:space="preserve">S-SWJTU-J1</x:t>
        </x:is>
      </x:c>
      <x:c r="J206" t="inlineStr">
        <x:is>
          <x:t xml:space="preserve">S3</x:t>
        </x:is>
      </x:c>
      <x:c r="K206" t="inlineStr">
        <x:is>
          <x:t xml:space="preserve">P2</x:t>
        </x:is>
      </x:c>
      <x:c r="L206" t="inlineStr">
        <x:is>
          <x:t xml:space="preserve">已证实(研究院级)</x:t>
        </x:is>
      </x:c>
      <x:c r="M206" t="inlineStr">
        <x:is>
          <x:t xml:space="preserve">仅学院/专业级关联；未证该方向或导师可进入；不得自动打分</x:t>
        </x:is>
      </x:c>
      <x:c r="N206" t="inlineStr">
        <x:is>
          <x:t xml:space="preserve">待人工评价</x:t>
        </x:is>
      </x:c>
    </x:row>
    <x:row r="207">
      <x:c r="A207" t="inlineStr">
        <x:is>
          <x:t xml:space="preserve">P10</x:t>
        </x:is>
      </x:c>
      <x:c r="B207" t="inlineStr">
        <x:is>
          <x:t xml:space="preserve">西南交通大学</x:t>
        </x:is>
      </x:c>
      <x:c r="C207" t="inlineStr">
        <x:is>
          <x:t xml:space="preserve">048</x:t>
        </x:is>
      </x:c>
      <x:c r="D207" t="inlineStr">
        <x:is>
          <x:t xml:space="preserve">085410</x:t>
        </x:is>
      </x:c>
      <x:c r="E207" t="inlineStr">
        <x:is>
          <x:t xml:space="preserve">学制与企业实践</x:t>
        </x:is>
      </x:c>
      <x:c r="F207" t="inlineStr">
        <x:is>
          <x:t xml:space="preserve">2D资源</x:t>
        </x:is>
      </x:c>
      <x:c r="G207" t="inlineStr">
        <x:is>
          <x:t xml:space="preserve">D3-硕士培养可进入性</x:t>
        </x:is>
      </x:c>
      <x:c r="H207" t="inlineStr">
        <x:is>
          <x:t xml:space="preserve">学院《专业实践》通知(S2): 全日制专硕入学满1年必修专业实践(半年至一年);学院设《人工智能产教融合实践基地》校级校内实践基地;集中答辩考核。</x:t>
        </x:is>
      </x:c>
      <x:c r="I207" t="inlineStr">
        <x:is>
          <x:t xml:space="preserve">S-SWJTU-P1</x:t>
        </x:is>
      </x:c>
      <x:c r="J207" t="inlineStr">
        <x:is>
          <x:t xml:space="preserve">S2</x:t>
        </x:is>
      </x:c>
      <x:c r="K207" t="inlineStr">
        <x:is>
          <x:t xml:space="preserve">P1</x:t>
        </x:is>
      </x:c>
      <x:c r="L207" t="inlineStr">
        <x:is>
          <x:t xml:space="preserve">已证实</x:t>
        </x:is>
      </x:c>
      <x:c r="M207" t="inlineStr">
        <x:is>
          <x:t xml:space="preserve">仅学院/专业级关联；未证该方向或导师可进入；不得自动打分</x:t>
        </x:is>
      </x:c>
      <x:c r="N207" t="inlineStr">
        <x:is>
          <x:t xml:space="preserve">待人工评价</x:t>
        </x:is>
      </x:c>
    </x:row>
    <x:row r="208">
      <x:c r="A208" t="inlineStr">
        <x:is>
          <x:t xml:space="preserve">P10</x:t>
        </x:is>
      </x:c>
      <x:c r="B208" t="inlineStr">
        <x:is>
          <x:t xml:space="preserve">西南交通大学</x:t>
        </x:is>
      </x:c>
      <x:c r="C208" t="inlineStr">
        <x:is>
          <x:t xml:space="preserve">048</x:t>
        </x:is>
      </x:c>
      <x:c r="D208" t="inlineStr">
        <x:is>
          <x:t xml:space="preserve">085410</x:t>
        </x:is>
      </x:c>
      <x:c r="E208" t="inlineStr">
        <x:is>
          <x:t xml:space="preserve">学制与企业实践</x:t>
        </x:is>
      </x:c>
      <x:c r="F208" t="inlineStr">
        <x:is>
          <x:t xml:space="preserve">2D资源</x:t>
        </x:is>
      </x:c>
      <x:c r="G208" t="inlineStr">
        <x:is>
          <x:t xml:space="preserve">D3-硕士培养可进入性</x:t>
        </x:is>
      </x:c>
      <x:c r="H208" t="inlineStr">
        <x:is>
          <x:t xml:space="preserve">学院《2025级研究生补修课程说明》(S2): 专业学位硕士(同等学力/跨专业)需补修数据结构、计算机组成原理、计算机网络。</x:t>
        </x:is>
      </x:c>
      <x:c r="I208" t="inlineStr">
        <x:is>
          <x:t xml:space="preserve">S-SWJTU-P2</x:t>
        </x:is>
      </x:c>
      <x:c r="J208" t="inlineStr">
        <x:is>
          <x:t xml:space="preserve">S2</x:t>
        </x:is>
      </x:c>
      <x:c r="K208" t="inlineStr">
        <x:is>
          <x:t xml:space="preserve">P1</x:t>
        </x:is>
      </x:c>
      <x:c r="L208" t="inlineStr">
        <x:is>
          <x:t xml:space="preserve">已证实</x:t>
        </x:is>
      </x:c>
      <x:c r="M208" t="inlineStr">
        <x:is>
          <x:t xml:space="preserve">仅学院/专业级关联；未证该方向或导师可进入；不得自动打分</x:t>
        </x:is>
      </x:c>
      <x:c r="N208" t="inlineStr">
        <x:is>
          <x:t xml:space="preserve">待人工评价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3" max="3" width="29" style="12" customWidth="1"/>
    <x:col min="8" max="8" width="37" style="12" customWidth="1"/>
  </x:cols>
  <x:sheetData>
    <x:row r="1">
      <x:c r="A1" s="18" t="inlineStr">
        <x:is>
          <x:t xml:space="preserve">一级</x:t>
        </x:is>
      </x:c>
      <x:c r="B1" s="18" t="inlineStr">
        <x:is>
          <x:t xml:space="preserve">二级</x:t>
        </x:is>
      </x:c>
      <x:c r="C1" s="18" t="inlineStr">
        <x:is>
          <x:t xml:space="preserve">三级指标</x:t>
        </x:is>
      </x:c>
      <x:c r="D1" s="18" t="inlineStr">
        <x:is>
          <x:t xml:space="preserve">原全局权重</x:t>
        </x:is>
      </x:c>
      <x:c r="E1" s="18" t="inlineStr">
        <x:is>
          <x:t xml:space="preserve">职业优先倍率</x:t>
        </x:is>
      </x:c>
      <x:c r="F1" s="18" t="inlineStr">
        <x:is>
          <x:t xml:space="preserve">报考优先倍率</x:t>
        </x:is>
      </x:c>
      <x:c r="G1" s="18" t="inlineStr">
        <x:is>
          <x:t xml:space="preserve">科研优先倍率</x:t>
        </x:is>
      </x:c>
      <x:c r="H1" s="18" t="inlineStr">
        <x:is>
          <x:t xml:space="preserve">情景说明</x:t>
        </x:is>
      </x:c>
      <x:c r="I1" s="18" t="inlineStr">
        <x:is>
          <x:t xml:space="preserve">职业优先有效权重</x:t>
        </x:is>
      </x:c>
      <x:c r="J1" s="18" t="inlineStr">
        <x:is>
          <x:t xml:space="preserve">报考优先有效权重</x:t>
        </x:is>
      </x:c>
      <x:c r="K1" s="18" t="inlineStr">
        <x:is>
          <x:t xml:space="preserve">科研优先有效权重</x:t>
        </x:is>
      </x:c>
    </x:row>
    <x:row r="2">
      <x:c r="A2" t="inlineStr">
        <x:is>
          <x:t xml:space="preserve">职业发展</x:t>
        </x:is>
      </x:c>
      <x:c r="B2" t="inlineStr">
        <x:is>
          <x:t xml:space="preserve">AI工程就业</x:t>
        </x:is>
      </x:c>
      <x:c r="C2" t="inlineStr">
        <x:is>
          <x:t xml:space="preserve">岗位与实习机会</x:t>
        </x:is>
      </x:c>
      <x:c r="D2" s="33" t="n">
        <x:f>'三级指标树'!G2</x:f>
        <x:v>0.105</x:v>
      </x:c>
      <x:c r="E2" s="33" t="n">
        <x:v>1.6</x:v>
      </x:c>
      <x:c r="F2" s="33" t="n">
        <x:v>0.8</x:v>
      </x:c>
      <x:c r="G2" s="33" t="n">
        <x:v>0.9</x:v>
      </x:c>
      <x:c r="H2" s="33" t="inlineStr">
        <x:is>
          <x:t xml:space="preserve">倍率为情景假设，不代表事实</x:t>
        </x:is>
      </x:c>
      <x:c r="I2" s="33" t="n">
        <x:f>IFERROR(D2*E2/SUMPRODUCT($D$2:$D$19,$E$2:$E$19),0)</x:f>
        <x:v>0.14672489082969434</x:v>
      </x:c>
      <x:c r="J2" s="33" t="n">
        <x:f>IFERROR(D2*F2/SUMPRODUCT($D$2:$D$19,$F$2:$F$19),0)</x:f>
        <x:v>0.07368421052631578</x:v>
      </x:c>
      <x:c r="K2" s="33" t="n">
        <x:f>IFERROR(D2*G2/SUMPRODUCT($D$2:$D$19,$G$2:$G$19),0)</x:f>
        <x:v>0.08831775700934578</x:v>
      </x:c>
    </x:row>
    <x:row r="3">
      <x:c r="A3" t="inlineStr">
        <x:is>
          <x:t xml:space="preserve">职业发展</x:t>
        </x:is>
      </x:c>
      <x:c r="B3" t="inlineStr">
        <x:is>
          <x:t xml:space="preserve">AI工程就业</x:t>
        </x:is>
      </x:c>
      <x:c r="C3" t="inlineStr">
        <x:is>
          <x:t xml:space="preserve">产业合作可参与性</x:t>
        </x:is>
      </x:c>
      <x:c r="D3" s="33" t="n">
        <x:f>'三级指标树'!G3</x:f>
        <x:v>0.07</x:v>
      </x:c>
      <x:c r="E3" s="33" t="n">
        <x:v>1.6</x:v>
      </x:c>
      <x:c r="F3" s="33" t="n">
        <x:v>0.8</x:v>
      </x:c>
      <x:c r="G3" s="33" t="n">
        <x:v>0.9</x:v>
      </x:c>
      <x:c r="H3" s="33" t="inlineStr">
        <x:is>
          <x:t xml:space="preserve">倍率为情景假设，不代表事实</x:t>
        </x:is>
      </x:c>
      <x:c r="I3" s="33" t="n">
        <x:f>IFERROR(D3*E3/SUMPRODUCT($D$2:$D$19,$E$2:$E$19),0)</x:f>
        <x:v>0.0978165938864629</x:v>
      </x:c>
      <x:c r="J3" s="33" t="n">
        <x:f>IFERROR(D3*F3/SUMPRODUCT($D$2:$D$19,$F$2:$F$19),0)</x:f>
        <x:v>0.04912280701754386</x:v>
      </x:c>
      <x:c r="K3" s="33" t="n">
        <x:f>IFERROR(D3*G3/SUMPRODUCT($D$2:$D$19,$G$2:$G$19),0)</x:f>
        <x:v>0.05887850467289721</x:v>
      </x:c>
    </x:row>
    <x:row r="4">
      <x:c r="A4" t="inlineStr">
        <x:is>
          <x:t xml:space="preserve">职业发展</x:t>
        </x:is>
      </x:c>
      <x:c r="B4" t="inlineStr">
        <x:is>
          <x:t xml:space="preserve">长期成长</x:t>
        </x:is>
      </x:c>
      <x:c r="C4" t="inlineStr">
        <x:is>
          <x:t xml:space="preserve">Agent/LLM能力积累</x:t>
        </x:is>
      </x:c>
      <x:c r="D4" s="33" t="n">
        <x:f>'三级指标树'!G4</x:f>
        <x:v>0.105</x:v>
      </x:c>
      <x:c r="E4" s="33" t="n">
        <x:v>1.6</x:v>
      </x:c>
      <x:c r="F4" s="33" t="n">
        <x:v>0.8</x:v>
      </x:c>
      <x:c r="G4" s="33" t="n">
        <x:v>0.9</x:v>
      </x:c>
      <x:c r="H4" s="33" t="inlineStr">
        <x:is>
          <x:t xml:space="preserve">倍率为情景假设，不代表事实</x:t>
        </x:is>
      </x:c>
      <x:c r="I4" s="33" t="n">
        <x:f>IFERROR(D4*E4/SUMPRODUCT($D$2:$D$19,$E$2:$E$19),0)</x:f>
        <x:v>0.14672489082969434</x:v>
      </x:c>
      <x:c r="J4" s="33" t="n">
        <x:f>IFERROR(D4*F4/SUMPRODUCT($D$2:$D$19,$F$2:$F$19),0)</x:f>
        <x:v>0.07368421052631578</x:v>
      </x:c>
      <x:c r="K4" s="33" t="n">
        <x:f>IFERROR(D4*G4/SUMPRODUCT($D$2:$D$19,$G$2:$G$19),0)</x:f>
        <x:v>0.08831775700934578</x:v>
      </x:c>
    </x:row>
    <x:row r="5">
      <x:c r="A5" t="inlineStr">
        <x:is>
          <x:t xml:space="preserve">职业发展</x:t>
        </x:is>
      </x:c>
      <x:c r="B5" t="inlineStr">
        <x:is>
          <x:t xml:space="preserve">长期成长</x:t>
        </x:is>
      </x:c>
      <x:c r="C5" t="inlineStr">
        <x:is>
          <x:t xml:space="preserve">具身/机器人发展空间</x:t>
        </x:is>
      </x:c>
      <x:c r="D5" s="33" t="n">
        <x:f>'三级指标树'!G5</x:f>
        <x:v>0.07</x:v>
      </x:c>
      <x:c r="E5" s="33" t="n">
        <x:v>1.6</x:v>
      </x:c>
      <x:c r="F5" s="33" t="n">
        <x:v>0.8</x:v>
      </x:c>
      <x:c r="G5" s="33" t="n">
        <x:v>0.9</x:v>
      </x:c>
      <x:c r="H5" s="33" t="inlineStr">
        <x:is>
          <x:t xml:space="preserve">倍率为情景假设，不代表事实</x:t>
        </x:is>
      </x:c>
      <x:c r="I5" s="33" t="n">
        <x:f>IFERROR(D5*E5/SUMPRODUCT($D$2:$D$19,$E$2:$E$19),0)</x:f>
        <x:v>0.0978165938864629</x:v>
      </x:c>
      <x:c r="J5" s="33" t="n">
        <x:f>IFERROR(D5*F5/SUMPRODUCT($D$2:$D$19,$F$2:$F$19),0)</x:f>
        <x:v>0.04912280701754386</x:v>
      </x:c>
      <x:c r="K5" s="33" t="n">
        <x:f>IFERROR(D5*G5/SUMPRODUCT($D$2:$D$19,$G$2:$G$19),0)</x:f>
        <x:v>0.05887850467289721</x:v>
      </x:c>
    </x:row>
    <x:row r="6">
      <x:c r="A6" t="inlineStr">
        <x:is>
          <x:t xml:space="preserve">报考可行性</x:t>
        </x:is>
      </x:c>
      <x:c r="B6" t="inlineStr">
        <x:is>
          <x:t xml:space="preserve">招生路径</x:t>
        </x:is>
      </x:c>
      <x:c r="C6" t="inlineStr">
        <x:is>
          <x:t xml:space="preserve">全日制统考路径明确性</x:t>
        </x:is>
      </x:c>
      <x:c r="D6" s="33" t="n">
        <x:f>'三级指标树'!G6</x:f>
        <x:v>0.099</x:v>
      </x:c>
      <x:c r="E6" s="33" t="n">
        <x:v>0.8</x:v>
      </x:c>
      <x:c r="F6" s="33" t="n">
        <x:v>1.8</x:v>
      </x:c>
      <x:c r="G6" s="33" t="n">
        <x:v>0.8</x:v>
      </x:c>
      <x:c r="H6" s="33" t="inlineStr">
        <x:is>
          <x:t xml:space="preserve">倍率为情景假设，不代表事实</x:t>
        </x:is>
      </x:c>
      <x:c r="I6" s="33" t="n">
        <x:f>IFERROR(D6*E6/SUMPRODUCT($D$2:$D$19,$E$2:$E$19),0)</x:f>
        <x:v>0.0691703056768559</x:v>
      </x:c>
      <x:c r="J6" s="33" t="n">
        <x:f>IFERROR(D6*F6/SUMPRODUCT($D$2:$D$19,$F$2:$F$19),0)</x:f>
        <x:v>0.1563157894736842</x:v>
      </x:c>
      <x:c r="K6" s="33" t="n">
        <x:f>IFERROR(D6*G6/SUMPRODUCT($D$2:$D$19,$G$2:$G$19),0)</x:f>
        <x:v>0.07401869158878505</x:v>
      </x:c>
    </x:row>
    <x:row r="7">
      <x:c r="A7" t="inlineStr">
        <x:is>
          <x:t xml:space="preserve">报考可行性</x:t>
        </x:is>
      </x:c>
      <x:c r="B7" t="inlineStr">
        <x:is>
          <x:t xml:space="preserve">招生路径</x:t>
        </x:is>
      </x:c>
      <x:c r="C7" t="inlineStr">
        <x:is>
          <x:t xml:space="preserve">名额口径可靠性</x:t>
        </x:is>
      </x:c>
      <x:c r="D7" s="33" t="n">
        <x:f>'三级指标树'!G7</x:f>
        <x:v>0.066</x:v>
      </x:c>
      <x:c r="E7" s="33" t="n">
        <x:v>0.8</x:v>
      </x:c>
      <x:c r="F7" s="33" t="n">
        <x:v>1.8</x:v>
      </x:c>
      <x:c r="G7" s="33" t="n">
        <x:v>0.8</x:v>
      </x:c>
      <x:c r="H7" s="33" t="inlineStr">
        <x:is>
          <x:t xml:space="preserve">倍率为情景假设，不代表事实</x:t>
        </x:is>
      </x:c>
      <x:c r="I7" s="33" t="n">
        <x:f>IFERROR(D7*E7/SUMPRODUCT($D$2:$D$19,$E$2:$E$19),0)</x:f>
        <x:v>0.04611353711790393</x:v>
      </x:c>
      <x:c r="J7" s="33" t="n">
        <x:f>IFERROR(D7*F7/SUMPRODUCT($D$2:$D$19,$F$2:$F$19),0)</x:f>
        <x:v>0.10421052631578946</x:v>
      </x:c>
      <x:c r="K7" s="33" t="n">
        <x:f>IFERROR(D7*G7/SUMPRODUCT($D$2:$D$19,$G$2:$G$19),0)</x:f>
        <x:v>0.049345794392523366</x:v>
      </x:c>
    </x:row>
    <x:row r="8">
      <x:c r="A8" t="inlineStr">
        <x:is>
          <x:t xml:space="preserve">报考可行性</x:t>
        </x:is>
      </x:c>
      <x:c r="B8" t="inlineStr">
        <x:is>
          <x:t xml:space="preserve">考试风险</x:t>
        </x:is>
      </x:c>
      <x:c r="C8" t="inlineStr">
        <x:is>
          <x:t xml:space="preserve">初复试科目稳定性</x:t>
        </x:is>
      </x:c>
      <x:c r="D8" s="33" t="n">
        <x:f>'三级指标树'!G8</x:f>
        <x:v>0.07425</x:v>
      </x:c>
      <x:c r="E8" s="33" t="n">
        <x:v>0.8</x:v>
      </x:c>
      <x:c r="F8" s="33" t="n">
        <x:v>1.8</x:v>
      </x:c>
      <x:c r="G8" s="33" t="n">
        <x:v>0.8</x:v>
      </x:c>
      <x:c r="H8" s="33" t="inlineStr">
        <x:is>
          <x:t xml:space="preserve">倍率为情景假设，不代表事实</x:t>
        </x:is>
      </x:c>
      <x:c r="I8" s="33" t="n">
        <x:f>IFERROR(D8*E8/SUMPRODUCT($D$2:$D$19,$E$2:$E$19),0)</x:f>
        <x:v>0.05187772925764192</x:v>
      </x:c>
      <x:c r="J8" s="33" t="n">
        <x:f>IFERROR(D8*F8/SUMPRODUCT($D$2:$D$19,$F$2:$F$19),0)</x:f>
        <x:v>0.11723684210526314</x:v>
      </x:c>
      <x:c r="K8" s="33" t="n">
        <x:f>IFERROR(D8*G8/SUMPRODUCT($D$2:$D$19,$G$2:$G$19),0)</x:f>
        <x:v>0.055514018691588785</x:v>
      </x:c>
    </x:row>
    <x:row r="9">
      <x:c r="A9" t="inlineStr">
        <x:is>
          <x:t xml:space="preserve">报考可行性</x:t>
        </x:is>
      </x:c>
      <x:c r="B9" t="inlineStr">
        <x:is>
          <x:t xml:space="preserve">考试风险</x:t>
        </x:is>
      </x:c>
      <x:c r="C9" t="inlineStr">
        <x:is>
          <x:t xml:space="preserve">复试规则可预期性</x:t>
        </x:is>
      </x:c>
      <x:c r="D9" s="33" t="n">
        <x:f>'三级指标树'!G9</x:f>
        <x:v>0.06075</x:v>
      </x:c>
      <x:c r="E9" s="33" t="n">
        <x:v>0.8</x:v>
      </x:c>
      <x:c r="F9" s="33" t="n">
        <x:v>1.8</x:v>
      </x:c>
      <x:c r="G9" s="33" t="n">
        <x:v>0.8</x:v>
      </x:c>
      <x:c r="H9" s="33" t="inlineStr">
        <x:is>
          <x:t xml:space="preserve">倍率为情景假设，不代表事实</x:t>
        </x:is>
      </x:c>
      <x:c r="I9" s="33" t="n">
        <x:f>IFERROR(D9*E9/SUMPRODUCT($D$2:$D$19,$E$2:$E$19),0)</x:f>
        <x:v>0.04244541484716158</x:v>
      </x:c>
      <x:c r="J9" s="33" t="n">
        <x:f>IFERROR(D9*F9/SUMPRODUCT($D$2:$D$19,$F$2:$F$19),0)</x:f>
        <x:v>0.09592105263157893</x:v>
      </x:c>
      <x:c r="K9" s="33" t="n">
        <x:f>IFERROR(D9*G9/SUMPRODUCT($D$2:$D$19,$G$2:$G$19),0)</x:f>
        <x:v>0.045420560747663555</x:v>
      </x:c>
    </x:row>
    <x:row r="10">
      <x:c r="A10" t="inlineStr">
        <x:is>
          <x:t xml:space="preserve">研究培养</x:t>
        </x:is>
      </x:c>
      <x:c r="B10" t="inlineStr">
        <x:is>
          <x:t xml:space="preserve">科研匹配</x:t>
        </x:is>
      </x:c>
      <x:c r="C10" t="inlineStr">
        <x:is>
          <x:t xml:space="preserve">研究方向相关性</x:t>
        </x:is>
      </x:c>
      <x:c r="D10" s="33" t="n">
        <x:f>'三级指标树'!G10</x:f>
        <x:v>0.0605</x:v>
      </x:c>
      <x:c r="E10" s="33" t="n">
        <x:v>1</x:v>
      </x:c>
      <x:c r="F10" s="33" t="n">
        <x:v>0.9</x:v>
      </x:c>
      <x:c r="G10" s="33" t="n">
        <x:v>1.9</x:v>
      </x:c>
      <x:c r="H10" s="33" t="inlineStr">
        <x:is>
          <x:t xml:space="preserve">倍率为情景假设，不代表事实</x:t>
        </x:is>
      </x:c>
      <x:c r="I10" s="33" t="n">
        <x:f>IFERROR(D10*E10/SUMPRODUCT($D$2:$D$19,$E$2:$E$19),0)</x:f>
        <x:v>0.05283842794759825</x:v>
      </x:c>
      <x:c r="J10" s="33" t="n">
        <x:f>IFERROR(D10*F10/SUMPRODUCT($D$2:$D$19,$F$2:$F$19),0)</x:f>
        <x:v>0.047763157894736834</x:v>
      </x:c>
      <x:c r="K10" s="33" t="n">
        <x:f>IFERROR(D10*G10/SUMPRODUCT($D$2:$D$19,$G$2:$G$19),0)</x:f>
        <x:v>0.10742990654205607</x:v>
      </x:c>
    </x:row>
    <x:row r="11">
      <x:c r="A11" t="inlineStr">
        <x:is>
          <x:t xml:space="preserve">研究培养</x:t>
        </x:is>
      </x:c>
      <x:c r="B11" t="inlineStr">
        <x:is>
          <x:t xml:space="preserve">科研匹配</x:t>
        </x:is>
      </x:c>
      <x:c r="C11" t="inlineStr">
        <x:is>
          <x:t xml:space="preserve">导师招生路径证据</x:t>
        </x:is>
      </x:c>
      <x:c r="D11" s="33" t="n">
        <x:f>'三级指标树'!G11</x:f>
        <x:v>0.0495</x:v>
      </x:c>
      <x:c r="E11" s="33" t="n">
        <x:v>1</x:v>
      </x:c>
      <x:c r="F11" s="33" t="n">
        <x:v>0.9</x:v>
      </x:c>
      <x:c r="G11" s="33" t="n">
        <x:v>1.9</x:v>
      </x:c>
      <x:c r="H11" s="33" t="inlineStr">
        <x:is>
          <x:t xml:space="preserve">倍率为情景假设，不代表事实</x:t>
        </x:is>
      </x:c>
      <x:c r="I11" s="33" t="n">
        <x:f>IFERROR(D11*E11/SUMPRODUCT($D$2:$D$19,$E$2:$E$19),0)</x:f>
        <x:v>0.04323144104803493</x:v>
      </x:c>
      <x:c r="J11" s="33" t="n">
        <x:f>IFERROR(D11*F11/SUMPRODUCT($D$2:$D$19,$F$2:$F$19),0)</x:f>
        <x:v>0.03907894736842105</x:v>
      </x:c>
      <x:c r="K11" s="33" t="n">
        <x:f>IFERROR(D11*G11/SUMPRODUCT($D$2:$D$19,$G$2:$G$19),0)</x:f>
        <x:v>0.08789719626168223</x:v>
      </x:c>
    </x:row>
    <x:row r="12">
      <x:c r="A12" t="inlineStr">
        <x:is>
          <x:t xml:space="preserve">研究培养</x:t>
        </x:is>
      </x:c>
      <x:c r="B12" t="inlineStr">
        <x:is>
          <x:t xml:space="preserve">培养可进入</x:t>
        </x:is>
      </x:c>
      <x:c r="C12" t="inlineStr">
        <x:is>
          <x:t xml:space="preserve">实践机制适用性</x:t>
        </x:is>
      </x:c>
      <x:c r="D12" s="33" t="n">
        <x:f>'三级指标树'!G12</x:f>
        <x:v>0.045</x:v>
      </x:c>
      <x:c r="E12" s="33" t="n">
        <x:v>1</x:v>
      </x:c>
      <x:c r="F12" s="33" t="n">
        <x:v>0.9</x:v>
      </x:c>
      <x:c r="G12" s="33" t="n">
        <x:v>1.9</x:v>
      </x:c>
      <x:c r="H12" s="33" t="inlineStr">
        <x:is>
          <x:t xml:space="preserve">倍率为情景假设，不代表事实</x:t>
        </x:is>
      </x:c>
      <x:c r="I12" s="33" t="n">
        <x:f>IFERROR(D12*E12/SUMPRODUCT($D$2:$D$19,$E$2:$E$19),0)</x:f>
        <x:v>0.03930131004366812</x:v>
      </x:c>
      <x:c r="J12" s="33" t="n">
        <x:f>IFERROR(D12*F12/SUMPRODUCT($D$2:$D$19,$F$2:$F$19),0)</x:f>
        <x:v>0.035526315789473684</x:v>
      </x:c>
      <x:c r="K12" s="33" t="n">
        <x:f>IFERROR(D12*G12/SUMPRODUCT($D$2:$D$19,$G$2:$G$19),0)</x:f>
        <x:v>0.07990654205607475</x:v>
      </x:c>
    </x:row>
    <x:row r="13">
      <x:c r="A13" t="inlineStr">
        <x:is>
          <x:t xml:space="preserve">研究培养</x:t>
        </x:is>
      </x:c>
      <x:c r="B13" t="inlineStr">
        <x:is>
          <x:t xml:space="preserve">培养可进入</x:t>
        </x:is>
      </x:c>
      <x:c r="C13" t="inlineStr">
        <x:is>
          <x:t xml:space="preserve">平台资源可进入性</x:t>
        </x:is>
      </x:c>
      <x:c r="D13" s="33" t="n">
        <x:f>'三级指标树'!G13</x:f>
        <x:v>0.045</x:v>
      </x:c>
      <x:c r="E13" s="33" t="n">
        <x:v>1</x:v>
      </x:c>
      <x:c r="F13" s="33" t="n">
        <x:v>0.9</x:v>
      </x:c>
      <x:c r="G13" s="33" t="n">
        <x:v>1.9</x:v>
      </x:c>
      <x:c r="H13" s="33" t="inlineStr">
        <x:is>
          <x:t xml:space="preserve">倍率为情景假设，不代表事实</x:t>
        </x:is>
      </x:c>
      <x:c r="I13" s="33" t="n">
        <x:f>IFERROR(D13*E13/SUMPRODUCT($D$2:$D$19,$E$2:$E$19),0)</x:f>
        <x:v>0.03930131004366812</x:v>
      </x:c>
      <x:c r="J13" s="33" t="n">
        <x:f>IFERROR(D13*F13/SUMPRODUCT($D$2:$D$19,$F$2:$F$19),0)</x:f>
        <x:v>0.035526315789473684</x:v>
      </x:c>
      <x:c r="K13" s="33" t="n">
        <x:f>IFERROR(D13*G13/SUMPRODUCT($D$2:$D$19,$G$2:$G$19),0)</x:f>
        <x:v>0.07990654205607475</x:v>
      </x:c>
    </x:row>
    <x:row r="14">
      <x:c r="A14" t="inlineStr">
        <x:is>
          <x:t xml:space="preserve">地域生态</x:t>
        </x:is>
      </x:c>
      <x:c r="B14" t="inlineStr">
        <x:is>
          <x:t xml:space="preserve">产业机会</x:t>
        </x:is>
      </x:c>
      <x:c r="C14" t="inlineStr">
        <x:is>
          <x:t xml:space="preserve">城市AI岗位生态</x:t>
        </x:is>
      </x:c>
      <x:c r="D14" s="33" t="n">
        <x:f>'三级指标树'!G14</x:f>
        <x:v>0.04225</x:v>
      </x:c>
      <x:c r="E14" s="33" t="n">
        <x:v>1</x:v>
      </x:c>
      <x:c r="F14" s="33" t="n">
        <x:v>0.9</x:v>
      </x:c>
      <x:c r="G14" s="33" t="n">
        <x:v>0.9</x:v>
      </x:c>
      <x:c r="H14" s="33" t="inlineStr">
        <x:is>
          <x:t xml:space="preserve">倍率为情景假设，不代表事实</x:t>
        </x:is>
      </x:c>
      <x:c r="I14" s="33" t="n">
        <x:f>IFERROR(D14*E14/SUMPRODUCT($D$2:$D$19,$E$2:$E$19),0)</x:f>
        <x:v>0.03689956331877729</x:v>
      </x:c>
      <x:c r="J14" s="33" t="n">
        <x:f>IFERROR(D14*F14/SUMPRODUCT($D$2:$D$19,$F$2:$F$19),0)</x:f>
        <x:v>0.033355263157894735</x:v>
      </x:c>
      <x:c r="K14" s="33" t="n">
        <x:f>IFERROR(D14*G14/SUMPRODUCT($D$2:$D$19,$G$2:$G$19),0)</x:f>
        <x:v>0.035537383177570096</x:v>
      </x:c>
    </x:row>
    <x:row r="15">
      <x:c r="A15" t="inlineStr">
        <x:is>
          <x:t xml:space="preserve">地域生态</x:t>
        </x:is>
      </x:c>
      <x:c r="B15" t="inlineStr">
        <x:is>
          <x:t xml:space="preserve">产业机会</x:t>
        </x:is>
      </x:c>
      <x:c r="C15" t="inlineStr">
        <x:is>
          <x:t xml:space="preserve">实习合作半径</x:t>
        </x:is>
      </x:c>
      <x:c r="D15" s="33" t="n">
        <x:f>'三级指标树'!G15</x:f>
        <x:v>0.02275</x:v>
      </x:c>
      <x:c r="E15" s="33" t="n">
        <x:v>1</x:v>
      </x:c>
      <x:c r="F15" s="33" t="n">
        <x:v>0.9</x:v>
      </x:c>
      <x:c r="G15" s="33" t="n">
        <x:v>0.9</x:v>
      </x:c>
      <x:c r="H15" s="33" t="inlineStr">
        <x:is>
          <x:t xml:space="preserve">倍率为情景假设，不代表事实</x:t>
        </x:is>
      </x:c>
      <x:c r="I15" s="33" t="n">
        <x:f>IFERROR(D15*E15/SUMPRODUCT($D$2:$D$19,$E$2:$E$19),0)</x:f>
        <x:v>0.019868995633187773</x:v>
      </x:c>
      <x:c r="J15" s="33" t="n">
        <x:f>IFERROR(D15*F15/SUMPRODUCT($D$2:$D$19,$F$2:$F$19),0)</x:f>
        <x:v>0.017960526315789472</x:v>
      </x:c>
      <x:c r="K15" s="33" t="n">
        <x:f>IFERROR(D15*G15/SUMPRODUCT($D$2:$D$19,$G$2:$G$19),0)</x:f>
        <x:v>0.01913551401869159</x:v>
      </x:c>
    </x:row>
    <x:row r="16">
      <x:c r="A16" t="inlineStr">
        <x:is>
          <x:t xml:space="preserve">地域生态</x:t>
        </x:is>
      </x:c>
      <x:c r="B16" t="inlineStr">
        <x:is>
          <x:t xml:space="preserve">生活适配</x:t>
        </x:is>
      </x:c>
      <x:c r="C16" t="inlineStr">
        <x:is>
          <x:t xml:space="preserve">地域与气候</x:t>
        </x:is>
      </x:c>
      <x:c r="D16" s="33" t="n">
        <x:f>'三级指标树'!G16</x:f>
        <x:v>0.035</x:v>
      </x:c>
      <x:c r="E16" s="33" t="n">
        <x:v>1</x:v>
      </x:c>
      <x:c r="F16" s="33" t="n">
        <x:v>0.9</x:v>
      </x:c>
      <x:c r="G16" s="33" t="n">
        <x:v>0.9</x:v>
      </x:c>
      <x:c r="H16" s="33" t="inlineStr">
        <x:is>
          <x:t xml:space="preserve">倍率为情景假设，不代表事实</x:t>
        </x:is>
      </x:c>
      <x:c r="I16" s="33" t="n">
        <x:f>IFERROR(D16*E16/SUMPRODUCT($D$2:$D$19,$E$2:$E$19),0)</x:f>
        <x:v>0.030567685589519653</x:v>
      </x:c>
      <x:c r="J16" s="33" t="n">
        <x:f>IFERROR(D16*F16/SUMPRODUCT($D$2:$D$19,$F$2:$F$19),0)</x:f>
        <x:v>0.027631578947368424</x:v>
      </x:c>
      <x:c r="K16" s="33" t="n">
        <x:f>IFERROR(D16*G16/SUMPRODUCT($D$2:$D$19,$G$2:$G$19),0)</x:f>
        <x:v>0.029439252336448604</x:v>
      </x:c>
    </x:row>
    <x:row r="17">
      <x:c r="A17" t="inlineStr">
        <x:is>
          <x:t xml:space="preserve">成本安排</x:t>
        </x:is>
      </x:c>
      <x:c r="B17" t="inlineStr">
        <x:is>
          <x:t xml:space="preserve">经济成本</x:t>
        </x:is>
      </x:c>
      <x:c r="C17" t="inlineStr">
        <x:is>
          <x:t xml:space="preserve">学费及住宿</x:t>
        </x:is>
      </x:c>
      <x:c r="D17" s="33" t="n">
        <x:f>'三级指标树'!G17</x:f>
        <x:v>0.015125</x:v>
      </x:c>
      <x:c r="E17" s="33" t="n">
        <x:v>0.9</x:v>
      </x:c>
      <x:c r="F17" s="33" t="n">
        <x:v>1</x:v>
      </x:c>
      <x:c r="G17" s="33" t="n">
        <x:v>0.9</x:v>
      </x:c>
      <x:c r="H17" s="33" t="inlineStr">
        <x:is>
          <x:t xml:space="preserve">倍率为情景假设，不代表事实</x:t>
        </x:is>
      </x:c>
      <x:c r="I17" s="33" t="n">
        <x:f>IFERROR(D17*E17/SUMPRODUCT($D$2:$D$19,$E$2:$E$19),0)</x:f>
        <x:v>0.011888646288209606</x:v>
      </x:c>
      <x:c r="J17" s="33" t="n">
        <x:f>IFERROR(D17*F17/SUMPRODUCT($D$2:$D$19,$F$2:$F$19),0)</x:f>
        <x:v>0.01326754385964912</x:v>
      </x:c>
      <x:c r="K17" s="33" t="n">
        <x:f>IFERROR(D17*G17/SUMPRODUCT($D$2:$D$19,$G$2:$G$19),0)</x:f>
        <x:v>0.012721962616822428</x:v>
      </x:c>
    </x:row>
    <x:row r="18">
      <x:c r="A18" t="inlineStr">
        <x:is>
          <x:t xml:space="preserve">成本安排</x:t>
        </x:is>
      </x:c>
      <x:c r="B18" t="inlineStr">
        <x:is>
          <x:t xml:space="preserve">经济成本</x:t>
        </x:is>
      </x:c>
      <x:c r="C18" t="inlineStr">
        <x:is>
          <x:t xml:space="preserve">异地与额外支出</x:t>
        </x:is>
      </x:c>
      <x:c r="D18" s="33" t="n">
        <x:f>'三级指标树'!G18</x:f>
        <x:v>0.012375</x:v>
      </x:c>
      <x:c r="E18" s="33" t="n">
        <x:v>0.9</x:v>
      </x:c>
      <x:c r="F18" s="33" t="n">
        <x:v>1</x:v>
      </x:c>
      <x:c r="G18" s="33" t="n">
        <x:v>0.9</x:v>
      </x:c>
      <x:c r="H18" s="33" t="inlineStr">
        <x:is>
          <x:t xml:space="preserve">倍率为情景假设，不代表事实</x:t>
        </x:is>
      </x:c>
      <x:c r="I18" s="33" t="n">
        <x:f>IFERROR(D18*E18/SUMPRODUCT($D$2:$D$19,$E$2:$E$19),0)</x:f>
        <x:v>0.009727074235807862</x:v>
      </x:c>
      <x:c r="J18" s="33" t="n">
        <x:f>IFERROR(D18*F18/SUMPRODUCT($D$2:$D$19,$F$2:$F$19),0)</x:f>
        <x:v>0.010855263157894736</x:v>
      </x:c>
      <x:c r="K18" s="33" t="n">
        <x:f>IFERROR(D18*G18/SUMPRODUCT($D$2:$D$19,$G$2:$G$19),0)</x:f>
        <x:v>0.010408878504672899</x:v>
      </x:c>
    </x:row>
    <x:row r="19">
      <x:c r="A19" t="inlineStr">
        <x:is>
          <x:t xml:space="preserve">成本安排</x:t>
        </x:is>
      </x:c>
      <x:c r="B19" t="inlineStr">
        <x:is>
          <x:t xml:space="preserve">培养安排</x:t>
        </x:is>
      </x:c>
      <x:c r="C19" t="inlineStr">
        <x:is>
          <x:t xml:space="preserve">学制与企业实践</x:t>
        </x:is>
      </x:c>
      <x:c r="D19" s="33" t="n">
        <x:f>'三级指标树'!G19</x:f>
        <x:v>0.0225</x:v>
      </x:c>
      <x:c r="E19" s="33" t="n">
        <x:v>0.9</x:v>
      </x:c>
      <x:c r="F19" s="33" t="n">
        <x:v>1</x:v>
      </x:c>
      <x:c r="G19" s="33" t="n">
        <x:v>0.9</x:v>
      </x:c>
      <x:c r="H19" s="33" t="inlineStr">
        <x:is>
          <x:t xml:space="preserve">倍率为情景假设，不代表事实</x:t>
        </x:is>
      </x:c>
      <x:c r="I19" s="33" t="n">
        <x:f>IFERROR(D19*E19/SUMPRODUCT($D$2:$D$19,$E$2:$E$19),0)</x:f>
        <x:v>0.017685589519650654</x:v>
      </x:c>
      <x:c r="J19" s="33" t="n">
        <x:f>IFERROR(D19*F19/SUMPRODUCT($D$2:$D$19,$F$2:$F$19),0)</x:f>
        <x:v>0.019736842105263153</x:v>
      </x:c>
      <x:c r="K19" s="33" t="n">
        <x:f>IFERROR(D19*G19/SUMPRODUCT($D$2:$D$19,$G$2:$G$19),0)</x:f>
        <x:v>0.01892523364485981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2" max="2" width="20" style="12" customWidth="1"/>
    <x:col min="10" max="10" width="50" style="12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8" t="inlineStr">
        <x:is>
          <x:t xml:space="preserve">路径ID</x:t>
        </x:is>
      </x:c>
      <x:c r="B1" s="18" t="inlineStr">
        <x:is>
          <x:t xml:space="preserve">学校</x:t>
        </x:is>
      </x:c>
      <x:c r="C1" s="18" t="inlineStr">
        <x:is>
          <x:t xml:space="preserve">学院/方向</x:t>
        </x:is>
      </x:c>
      <x:c r="D1" s="18" t="inlineStr">
        <x:is>
          <x:t xml:space="preserve">证据覆盖率</x:t>
        </x:is>
      </x:c>
      <x:c r="E1" s="18" t="inlineStr">
        <x:is>
          <x:t xml:space="preserve">原权重评分</x:t>
        </x:is>
      </x:c>
      <x:c r="F1" s="18" t="inlineStr">
        <x:is>
          <x:t xml:space="preserve">职业优先评分</x:t>
        </x:is>
      </x:c>
      <x:c r="G1" s="18" t="inlineStr">
        <x:is>
          <x:t xml:space="preserve">报考优先评分</x:t>
        </x:is>
      </x:c>
      <x:c r="H1" s="18" t="inlineStr">
        <x:is>
          <x:t xml:space="preserve">科研优先评分</x:t>
        </x:is>
      </x:c>
      <x:c r="I1" s="18" t="inlineStr">
        <x:is>
          <x:t xml:space="preserve">结论</x:t>
        </x:is>
      </x:c>
      <x:c r="J1" s="18" t="inlineStr">
        <x:is>
          <x:t xml:space="preserve">限制</x:t>
        </x:is>
      </x:c>
      <x:c r="O1" t="inlineStr">
        <x:is>
          <x:t xml:space="preserve">验收补充说明(3.7B)</x:t>
        </x:is>
      </x:c>
      <x:c r="P1" s="50" t="str">
        <x:v>职业情景状态</x:v>
      </x:c>
      <x:c r="Q1" s="50" t="str">
        <x:v>报考情景状态</x:v>
      </x:c>
      <x:c r="R1" s="50" t="str">
        <x:v>科研情景状态</x:v>
      </x:c>
    </x:row>
    <x:row r="2">
      <x:c r="A2" t="inlineStr">
        <x:is>
          <x:t xml:space="preserve">P01</x:t>
        </x:is>
      </x:c>
      <x:c r="B2" t="inlineStr">
        <x:is>
          <x:t xml:space="preserve">北京邮电大学</x:t>
        </x:is>
      </x:c>
      <x:c r="C2" t="inlineStr">
        <x:is>
          <x:t xml:space="preserve">005/方向01</x:t>
        </x:is>
      </x:c>
      <x:c r="D2" s="31" t="n">
        <x:f>IFERROR(SUMPRODUCT('三级证据评分'!$K$2:$K$19,'三级指标树'!$G$2:$G$19)/SUM('三级指标树'!$G$2:$G$19),0)</x:f>
        <x:v>0</x:v>
      </x:c>
      <x:c r="E2" s="31" t="str">
        <x:f>IF(OR(D2&lt;参数!$B$2,'路径'!$N$2&lt;&gt;"候选"),"",IFERROR(SUMPRODUCT('三级证据评分'!$L$2:$L$19,'三级指标树'!$G$2:$G$19)/SUMPRODUCT('三级证据评分'!$K$2:$K$19,'三级指标树'!$G$2:$G$19),""))</x:f>
      </x:c>
      <x:c r="F2" s="31" t="str">
        <x:f>IF(OR(K2&lt;参数!$B$2,'路径'!$N$2&lt;&gt;"候选"),"",IFERROR(SUMPRODUCT('三级证据评分'!$L$2:$L$19,'3_2情景权重'!$I$2:$I$19)/SUMPRODUCT('三级证据评分'!$K$2:$K$19,'3_2情景权重'!$I$2:$I$19),""))</x:f>
      </x:c>
      <x:c r="G2" s="31" t="str">
        <x:f>IF(OR(L2&lt;参数!$B$2,'路径'!$N$2&lt;&gt;"候选"),"",IFERROR(SUMPRODUCT('三级证据评分'!$L$2:$L$19,'3_2情景权重'!$J$2:$J$19)/SUMPRODUCT('三级证据评分'!$K$2:$K$19,'3_2情景权重'!$J$2:$J$19),""))</x:f>
      </x:c>
      <x:c r="H2" s="31" t="str">
        <x:f>IF(OR(M2&lt;参数!$B$2,'路径'!$N$2&lt;&gt;"候选"),"",IFERROR(SUMPRODUCT('三级证据评分'!$L$2:$L$19,'3_2情景权重'!$K$2:$K$19)/SUMPRODUCT('三级证据评分'!$K$2:$K$19,'3_2情景权重'!$K$2:$K$19),""))</x:f>
      </x:c>
      <x:c r="I2" t="str">
        <x:f>IF('路径'!$N$2="排除","硬约束不符-排除",IF('路径'!$N$2&lt;&gt;"候选","硬约束待确认-不可比较",IF(D2&lt;参数!$B$2,"证据不足","可比较（非录取预测）")))</x:f>
        <x:v>硬约束待确认-不可比较</x:v>
      </x:c>
      <x:c r="J2" t="inlineStr">
        <x:is>
          <x:t xml:space="preserve">需人工填分且来源与方向一致；2028目录未发布</x:t>
        </x:is>
      </x:c>
      <x:c r="K2" t="n">
        <x:f>IFERROR(SUMPRODUCT('三级证据评分'!$K$2:$K$19,'3_2情景权重'!$I$2:$I$19)/SUM('3_2情景权重'!$I$2:$I$19),0)</x:f>
        <x:v>0</x:v>
      </x:c>
      <x:c r="L2" t="n">
        <x:f>IFERROR(SUMPRODUCT('三级证据评分'!$K$2:$K$19,'3_2情景权重'!$J$2:$J$19)/SUM('3_2情景权重'!$J$2:$J$19),0)</x:f>
        <x:v>0</x:v>
      </x:c>
      <x:c r="M2" t="n">
        <x:f>IFERROR(SUMPRODUCT('三级证据评分'!$K$2:$K$19,'3_2情景权重'!$K$2:$K$19)/SUM('3_2情景权重'!$K$2:$K$19),0)</x:f>
        <x:v>0</x:v>
      </x:c>
      <x:c r="O2" t="inlineStr">
        <x:is>
          <x:t xml:space="preserve">有效证据 = (E∈{1,2,3,4,5}整数) AND (F非空); 由 K 列逐格 IFERROR 计算</x:t>
        </x:is>
      </x:c>
      <x:c r="P2" t="str">
        <x:f>IF('路径'!$N$2="排除","硬约束不符-排除",IF('路径'!$N$2&lt;&gt;"候选","硬约束待确认-不可比较",IF(K2&lt;参数!$B$2,"证据不足","可比较（非录取预测）")))</x:f>
        <x:v>硬约束待确认-不可比较</x:v>
      </x:c>
      <x:c r="Q2" t="str">
        <x:f>IF('路径'!$N$2="排除","硬约束不符-排除",IF('路径'!$N$2&lt;&gt;"候选","硬约束待确认-不可比较",IF(L2&lt;参数!$B$2,"证据不足","可比较（非录取预测）")))</x:f>
        <x:v>硬约束待确认-不可比较</x:v>
      </x:c>
      <x:c r="R2" t="str">
        <x:f>IF('路径'!$N$2="排除","硬约束不符-排除",IF('路径'!$N$2&lt;&gt;"候选","硬约束待确认-不可比较",IF(M2&lt;参数!$B$2,"证据不足","可比较（非录取预测）")))</x:f>
        <x:v>硬约束待确认-不可比较</x:v>
      </x:c>
    </x:row>
    <x:row r="3">
      <x:c r="A3" t="inlineStr">
        <x:is>
          <x:t xml:space="preserve">P02</x:t>
        </x:is>
      </x:c>
      <x:c r="B3" t="inlineStr">
        <x:is>
          <x:t xml:space="preserve">北京邮电大学</x:t>
        </x:is>
      </x:c>
      <x:c r="C3" t="inlineStr">
        <x:is>
          <x:t xml:space="preserve">005/方向02</x:t>
        </x:is>
      </x:c>
      <x:c r="D3" s="31" t="n">
        <x:f>IFERROR(SUMPRODUCT('三级证据评分'!$K$20:$K$37,'三级指标树'!$G$2:$G$19)/SUM('三级指标树'!$G$2:$G$19),0)</x:f>
        <x:v>0</x:v>
      </x:c>
      <x:c r="E3" s="31" t="str">
        <x:f>IF(OR(D3&lt;参数!$B$2,'路径'!$N$3&lt;&gt;"候选"),"",IFERROR(SUMPRODUCT('三级证据评分'!$L$20:$L$37,'三级指标树'!$G$2:$G$19)/SUMPRODUCT('三级证据评分'!$K$20:$K$37,'三级指标树'!$G$2:$G$19),""))</x:f>
      </x:c>
      <x:c r="F3" s="31" t="str">
        <x:f>IF(OR(K3&lt;参数!$B$2,'路径'!$N$3&lt;&gt;"候选"),"",IFERROR(SUMPRODUCT('三级证据评分'!$L$20:$L$37,'3_2情景权重'!$I$2:$I$19)/SUMPRODUCT('三级证据评分'!$K$20:$K$37,'3_2情景权重'!$I$2:$I$19),""))</x:f>
      </x:c>
      <x:c r="G3" s="31" t="str">
        <x:f>IF(OR(L3&lt;参数!$B$2,'路径'!$N$3&lt;&gt;"候选"),"",IFERROR(SUMPRODUCT('三级证据评分'!$L$20:$L$37,'3_2情景权重'!$J$2:$J$19)/SUMPRODUCT('三级证据评分'!$K$20:$K$37,'3_2情景权重'!$J$2:$J$19),""))</x:f>
      </x:c>
      <x:c r="H3" s="31" t="str">
        <x:f>IF(OR(M3&lt;参数!$B$2,'路径'!$N$3&lt;&gt;"候选"),"",IFERROR(SUMPRODUCT('三级证据评分'!$L$20:$L$37,'3_2情景权重'!$K$2:$K$19)/SUMPRODUCT('三级证据评分'!$K$20:$K$37,'3_2情景权重'!$K$2:$K$19),""))</x:f>
      </x:c>
      <x:c r="I3" t="str">
        <x:f>IF('路径'!$N$3="排除","硬约束不符-排除",IF('路径'!$N$3&lt;&gt;"候选","硬约束待确认-不可比较",IF(D3&lt;参数!$B$2,"证据不足","可比较（非录取预测）")))</x:f>
        <x:v>硬约束待确认-不可比较</x:v>
      </x:c>
      <x:c r="J3" t="inlineStr">
        <x:is>
          <x:t xml:space="preserve">需人工填分且来源与方向一致；2028目录未发布</x:t>
        </x:is>
      </x:c>
      <x:c r="K3" t="n">
        <x:f>IFERROR(SUMPRODUCT('三级证据评分'!$K$20:$K$37,'3_2情景权重'!$I$2:$I$19)/SUM('3_2情景权重'!$I$2:$I$19),0)</x:f>
        <x:v>0</x:v>
      </x:c>
      <x:c r="L3" t="n">
        <x:f>IFERROR(SUMPRODUCT('三级证据评分'!$K$20:$K$37,'3_2情景权重'!$J$2:$J$19)/SUM('3_2情景权重'!$J$2:$J$19),0)</x:f>
        <x:v>0</x:v>
      </x:c>
      <x:c r="M3" t="n">
        <x:f>IFERROR(SUMPRODUCT('三级证据评分'!$K$20:$K$37,'3_2情景权重'!$K$2:$K$19)/SUM('3_2情景权重'!$K$2:$K$19),0)</x:f>
        <x:v>0</x:v>
      </x:c>
      <x:c r="O3" t="inlineStr">
        <x:is>
          <x:t xml:space="preserve">覆盖率与加权分均对 K/L 列聚合, 分子分母同一掩码, 且免疫 #DIV/0! 等错误传播</x:t>
        </x:is>
      </x:c>
      <x:c r="P3" t="str">
        <x:f>IF('路径'!$N$3="排除","硬约束不符-排除",IF('路径'!$N$3&lt;&gt;"候选","硬约束待确认-不可比较",IF(K3&lt;参数!$B$2,"证据不足","可比较（非录取预测）")))</x:f>
        <x:v>硬约束待确认-不可比较</x:v>
      </x:c>
      <x:c r="Q3" t="str">
        <x:f>IF('路径'!$N$3="排除","硬约束不符-排除",IF('路径'!$N$3&lt;&gt;"候选","硬约束待确认-不可比较",IF(L3&lt;参数!$B$2,"证据不足","可比较（非录取预测）")))</x:f>
        <x:v>硬约束待确认-不可比较</x:v>
      </x:c>
      <x:c r="R3" t="str">
        <x:f>IF('路径'!$N$3="排除","硬约束不符-排除",IF('路径'!$N$3&lt;&gt;"候选","硬约束待确认-不可比较",IF(M3&lt;参数!$B$2,"证据不足","可比较（非录取预测）")))</x:f>
        <x:v>硬约束待确认-不可比较</x:v>
      </x:c>
    </x:row>
    <x:row r="4">
      <x:c r="A4" t="inlineStr">
        <x:is>
          <x:t xml:space="preserve">P03</x:t>
        </x:is>
      </x:c>
      <x:c r="B4" t="inlineStr">
        <x:is>
          <x:t xml:space="preserve">电子科技大学</x:t>
        </x:is>
      </x:c>
      <x:c r="C4" t="inlineStr">
        <x:is>
          <x:t xml:space="preserve">008/计算机技术</x:t>
        </x:is>
      </x:c>
      <x:c r="D4" s="31" t="n">
        <x:f>IFERROR(SUMPRODUCT('三级证据评分'!$K$38:$K$55,'三级指标树'!$G$2:$G$19)/SUM('三级指标树'!$G$2:$G$19),0)</x:f>
        <x:v>0</x:v>
      </x:c>
      <x:c r="E4" s="31" t="str">
        <x:f>IF(OR(D4&lt;参数!$B$2,'路径'!$N$4&lt;&gt;"候选"),"",IFERROR(SUMPRODUCT('三级证据评分'!$L$38:$L$55,'三级指标树'!$G$2:$G$19)/SUMPRODUCT('三级证据评分'!$K$38:$K$55,'三级指标树'!$G$2:$G$19),""))</x:f>
      </x:c>
      <x:c r="F4" s="31" t="str">
        <x:f>IF(OR(K4&lt;参数!$B$2,'路径'!$N$4&lt;&gt;"候选"),"",IFERROR(SUMPRODUCT('三级证据评分'!$L$38:$L$55,'3_2情景权重'!$I$2:$I$19)/SUMPRODUCT('三级证据评分'!$K$38:$K$55,'3_2情景权重'!$I$2:$I$19),""))</x:f>
      </x:c>
      <x:c r="G4" s="31" t="str">
        <x:f>IF(OR(L4&lt;参数!$B$2,'路径'!$N$4&lt;&gt;"候选"),"",IFERROR(SUMPRODUCT('三级证据评分'!$L$38:$L$55,'3_2情景权重'!$J$2:$J$19)/SUMPRODUCT('三级证据评分'!$K$38:$K$55,'3_2情景权重'!$J$2:$J$19),""))</x:f>
      </x:c>
      <x:c r="H4" s="31" t="str">
        <x:f>IF(OR(M4&lt;参数!$B$2,'路径'!$N$4&lt;&gt;"候选"),"",IFERROR(SUMPRODUCT('三级证据评分'!$L$38:$L$55,'3_2情景权重'!$K$2:$K$19)/SUMPRODUCT('三级证据评分'!$K$38:$K$55,'3_2情景权重'!$K$2:$K$19),""))</x:f>
      </x:c>
      <x:c r="I4" t="str">
        <x:f>IF('路径'!$N$4="排除","硬约束不符-排除",IF('路径'!$N$4&lt;&gt;"候选","硬约束待确认-不可比较",IF(D4&lt;参数!$B$2,"证据不足","可比较（非录取预测）")))</x:f>
        <x:v>硬约束待确认-不可比较</x:v>
      </x:c>
      <x:c r="J4" t="inlineStr">
        <x:is>
          <x:t xml:space="preserve">需人工填分且来源与方向一致；2028目录未发布</x:t>
        </x:is>
      </x:c>
      <x:c r="K4" t="n">
        <x:f>IFERROR(SUMPRODUCT('三级证据评分'!$K$38:$K$55,'3_2情景权重'!$I$2:$I$19)/SUM('3_2情景权重'!$I$2:$I$19),0)</x:f>
        <x:v>0</x:v>
      </x:c>
      <x:c r="L4" t="n">
        <x:f>IFERROR(SUMPRODUCT('三级证据评分'!$K$38:$K$55,'3_2情景权重'!$J$2:$J$19)/SUM('3_2情景权重'!$J$2:$J$19),0)</x:f>
        <x:v>0</x:v>
      </x:c>
      <x:c r="M4" t="n">
        <x:f>IFERROR(SUMPRODUCT('三级证据评分'!$K$38:$K$55,'3_2情景权重'!$K$2:$K$19)/SUM('3_2情景权重'!$K$2:$K$19),0)</x:f>
        <x:v>0</x:v>
      </x:c>
      <x:c r="O4" t="inlineStr">
        <x:is>
          <x:t xml:space="preserve">阈值从「参数」!B2 读取; 仅『候选』标签允许显示比较分数</x:t>
        </x:is>
      </x:c>
      <x:c r="P4" t="str">
        <x:f>IF('路径'!$N$4="排除","硬约束不符-排除",IF('路径'!$N$4&lt;&gt;"候选","硬约束待确认-不可比较",IF(K4&lt;参数!$B$2,"证据不足","可比较（非录取预测）")))</x:f>
        <x:v>硬约束待确认-不可比较</x:v>
      </x:c>
      <x:c r="Q4" t="str">
        <x:f>IF('路径'!$N$4="排除","硬约束不符-排除",IF('路径'!$N$4&lt;&gt;"候选","硬约束待确认-不可比较",IF(L4&lt;参数!$B$2,"证据不足","可比较（非录取预测）")))</x:f>
        <x:v>硬约束待确认-不可比较</x:v>
      </x:c>
      <x:c r="R4" t="str">
        <x:f>IF('路径'!$N$4="排除","硬约束不符-排除",IF('路径'!$N$4&lt;&gt;"候选","硬约束待确认-不可比较",IF(M4&lt;参数!$B$2,"证据不足","可比较（非录取预测）")))</x:f>
        <x:v>硬约束待确认-不可比较</x:v>
      </x:c>
    </x:row>
    <x:row r="5">
      <x:c r="A5" t="inlineStr">
        <x:is>
          <x:t xml:space="preserve">P04</x:t>
        </x:is>
      </x:c>
      <x:c r="B5" t="inlineStr">
        <x:is>
          <x:t xml:space="preserve">电子科技大学</x:t>
        </x:is>
      </x:c>
      <x:c r="C5" t="inlineStr">
        <x:is>
          <x:t xml:space="preserve">028/计算机技术</x:t>
        </x:is>
      </x:c>
      <x:c r="D5" s="31" t="n">
        <x:f>IFERROR(SUMPRODUCT('三级证据评分'!$K$56:$K$73,'三级指标树'!$G$2:$G$19)/SUM('三级指标树'!$G$2:$G$19),0)</x:f>
        <x:v>0</x:v>
      </x:c>
      <x:c r="E5" s="31" t="str">
        <x:f>IF(OR(D5&lt;参数!$B$2,'路径'!$N$5&lt;&gt;"候选"),"",IFERROR(SUMPRODUCT('三级证据评分'!$L$56:$L$73,'三级指标树'!$G$2:$G$19)/SUMPRODUCT('三级证据评分'!$K$56:$K$73,'三级指标树'!$G$2:$G$19),""))</x:f>
      </x:c>
      <x:c r="F5" s="31" t="str">
        <x:f>IF(OR(K5&lt;参数!$B$2,'路径'!$N$5&lt;&gt;"候选"),"",IFERROR(SUMPRODUCT('三级证据评分'!$L$56:$L$73,'3_2情景权重'!$I$2:$I$19)/SUMPRODUCT('三级证据评分'!$K$56:$K$73,'3_2情景权重'!$I$2:$I$19),""))</x:f>
      </x:c>
      <x:c r="G5" s="31" t="str">
        <x:f>IF(OR(L5&lt;参数!$B$2,'路径'!$N$5&lt;&gt;"候选"),"",IFERROR(SUMPRODUCT('三级证据评分'!$L$56:$L$73,'3_2情景权重'!$J$2:$J$19)/SUMPRODUCT('三级证据评分'!$K$56:$K$73,'3_2情景权重'!$J$2:$J$19),""))</x:f>
      </x:c>
      <x:c r="H5" s="31" t="str">
        <x:f>IF(OR(M5&lt;参数!$B$2,'路径'!$N$5&lt;&gt;"候选"),"",IFERROR(SUMPRODUCT('三级证据评分'!$L$56:$L$73,'3_2情景权重'!$K$2:$K$19)/SUMPRODUCT('三级证据评分'!$K$56:$K$73,'3_2情景权重'!$K$2:$K$19),""))</x:f>
      </x:c>
      <x:c r="I5" t="str">
        <x:f>IF('路径'!$N$5="排除","硬约束不符-排除",IF('路径'!$N$5&lt;&gt;"候选","硬约束待确认-不可比较",IF(D5&lt;参数!$B$2,"证据不足","可比较（非录取预测）")))</x:f>
        <x:v>硬约束待确认-不可比较</x:v>
      </x:c>
      <x:c r="J5" t="inlineStr">
        <x:is>
          <x:t xml:space="preserve">需人工填分且来源与方向一致；2028目录未发布</x:t>
        </x:is>
      </x:c>
      <x:c r="K5" t="n">
        <x:f>IFERROR(SUMPRODUCT('三级证据评分'!$K$56:$K$73,'3_2情景权重'!$I$2:$I$19)/SUM('3_2情景权重'!$I$2:$I$19),0)</x:f>
        <x:v>0</x:v>
      </x:c>
      <x:c r="L5" t="n">
        <x:f>IFERROR(SUMPRODUCT('三级证据评分'!$K$56:$K$73,'3_2情景权重'!$J$2:$J$19)/SUM('3_2情景权重'!$J$2:$J$19),0)</x:f>
        <x:v>0</x:v>
      </x:c>
      <x:c r="M5" t="n">
        <x:f>IFERROR(SUMPRODUCT('三级证据评分'!$K$56:$K$73,'3_2情景权重'!$K$2:$K$19)/SUM('3_2情景权重'!$K$2:$K$19),0)</x:f>
        <x:v>0</x:v>
      </x:c>
      <x:c r="P5" t="str">
        <x:f>IF('路径'!$N$5="排除","硬约束不符-排除",IF('路径'!$N$5&lt;&gt;"候选","硬约束待确认-不可比较",IF(K5&lt;参数!$B$2,"证据不足","可比较（非录取预测）")))</x:f>
        <x:v>硬约束待确认-不可比较</x:v>
      </x:c>
      <x:c r="Q5" t="str">
        <x:f>IF('路径'!$N$5="排除","硬约束不符-排除",IF('路径'!$N$5&lt;&gt;"候选","硬约束待确认-不可比较",IF(L5&lt;参数!$B$2,"证据不足","可比较（非录取预测）")))</x:f>
        <x:v>硬约束待确认-不可比较</x:v>
      </x:c>
      <x:c r="R5" t="str">
        <x:f>IF('路径'!$N$5="排除","硬约束不符-排除",IF('路径'!$N$5&lt;&gt;"候选","硬约束待确认-不可比较",IF(M5&lt;参数!$B$2,"证据不足","可比较（非录取预测）")))</x:f>
        <x:v>硬约束待确认-不可比较</x:v>
      </x:c>
    </x:row>
    <x:row r="6">
      <x:c r="A6" t="inlineStr">
        <x:is>
          <x:t xml:space="preserve">P05</x:t>
        </x:is>
      </x:c>
      <x:c r="B6" t="inlineStr">
        <x:is>
          <x:t xml:space="preserve">东南大学</x:t>
        </x:is>
      </x:c>
      <x:c r="C6" t="inlineStr">
        <x:is>
          <x:t xml:space="preserve">009/人工智能</x:t>
        </x:is>
      </x:c>
      <x:c r="D6" s="31" t="n">
        <x:f>IFERROR(SUMPRODUCT('三级证据评分'!$K$74:$K$91,'三级指标树'!$G$2:$G$19)/SUM('三级指标树'!$G$2:$G$19),0)</x:f>
        <x:v>0</x:v>
      </x:c>
      <x:c r="E6" s="31" t="str">
        <x:f>IF(OR(D6&lt;参数!$B$2,'路径'!$N$6&lt;&gt;"候选"),"",IFERROR(SUMPRODUCT('三级证据评分'!$L$74:$L$91,'三级指标树'!$G$2:$G$19)/SUMPRODUCT('三级证据评分'!$K$74:$K$91,'三级指标树'!$G$2:$G$19),""))</x:f>
      </x:c>
      <x:c r="F6" s="31" t="str">
        <x:f>IF(OR(K6&lt;参数!$B$2,'路径'!$N$6&lt;&gt;"候选"),"",IFERROR(SUMPRODUCT('三级证据评分'!$L$74:$L$91,'3_2情景权重'!$I$2:$I$19)/SUMPRODUCT('三级证据评分'!$K$74:$K$91,'3_2情景权重'!$I$2:$I$19),""))</x:f>
      </x:c>
      <x:c r="G6" s="31" t="str">
        <x:f>IF(OR(L6&lt;参数!$B$2,'路径'!$N$6&lt;&gt;"候选"),"",IFERROR(SUMPRODUCT('三级证据评分'!$L$74:$L$91,'3_2情景权重'!$J$2:$J$19)/SUMPRODUCT('三级证据评分'!$K$74:$K$91,'3_2情景权重'!$J$2:$J$19),""))</x:f>
      </x:c>
      <x:c r="H6" s="31" t="str">
        <x:f>IF(OR(M6&lt;参数!$B$2,'路径'!$N$6&lt;&gt;"候选"),"",IFERROR(SUMPRODUCT('三级证据评分'!$L$74:$L$91,'3_2情景权重'!$K$2:$K$19)/SUMPRODUCT('三级证据评分'!$K$74:$K$91,'3_2情景权重'!$K$2:$K$19),""))</x:f>
      </x:c>
      <x:c r="I6" t="str">
        <x:f>IF('路径'!$N$6="排除","硬约束不符-排除",IF('路径'!$N$6&lt;&gt;"候选","硬约束待确认-不可比较",IF(D6&lt;参数!$B$2,"证据不足","可比较（非录取预测）")))</x:f>
        <x:v>硬约束待确认-不可比较</x:v>
      </x:c>
      <x:c r="J6" t="inlineStr">
        <x:is>
          <x:t xml:space="preserve">需人工填分且来源与方向一致；2028目录未发布</x:t>
        </x:is>
      </x:c>
      <x:c r="K6" t="n">
        <x:f>IFERROR(SUMPRODUCT('三级证据评分'!$K$74:$K$91,'3_2情景权重'!$I$2:$I$19)/SUM('3_2情景权重'!$I$2:$I$19),0)</x:f>
        <x:v>0</x:v>
      </x:c>
      <x:c r="L6" t="n">
        <x:f>IFERROR(SUMPRODUCT('三级证据评分'!$K$74:$K$91,'3_2情景权重'!$J$2:$J$19)/SUM('3_2情景权重'!$J$2:$J$19),0)</x:f>
        <x:v>0</x:v>
      </x:c>
      <x:c r="M6" t="n">
        <x:f>IFERROR(SUMPRODUCT('三级证据评分'!$K$74:$K$91,'3_2情景权重'!$K$2:$K$19)/SUM('3_2情景权重'!$K$2:$K$19),0)</x:f>
        <x:v>0</x:v>
      </x:c>
      <x:c r="P6" t="str">
        <x:f>IF('路径'!$N$6="排除","硬约束不符-排除",IF('路径'!$N$6&lt;&gt;"候选","硬约束待确认-不可比较",IF(K6&lt;参数!$B$2,"证据不足","可比较（非录取预测）")))</x:f>
        <x:v>硬约束待确认-不可比较</x:v>
      </x:c>
      <x:c r="Q6" t="str">
        <x:f>IF('路径'!$N$6="排除","硬约束不符-排除",IF('路径'!$N$6&lt;&gt;"候选","硬约束待确认-不可比较",IF(L6&lt;参数!$B$2,"证据不足","可比较（非录取预测）")))</x:f>
        <x:v>硬约束待确认-不可比较</x:v>
      </x:c>
      <x:c r="R6" t="str">
        <x:f>IF('路径'!$N$6="排除","硬约束不符-排除",IF('路径'!$N$6&lt;&gt;"候选","硬约束待确认-不可比较",IF(M6&lt;参数!$B$2,"证据不足","可比较（非录取预测）")))</x:f>
        <x:v>硬约束待确认-不可比较</x:v>
      </x:c>
    </x:row>
    <x:row r="7">
      <x:c r="A7" t="inlineStr">
        <x:is>
          <x:t xml:space="preserve">P06</x:t>
        </x:is>
      </x:c>
      <x:c r="B7" t="inlineStr">
        <x:is>
          <x:t xml:space="preserve">合肥工业大学</x:t>
        </x:is>
      </x:c>
      <x:c r="C7" t="inlineStr">
        <x:is>
          <x:t xml:space="preserve">005/人工智能</x:t>
        </x:is>
      </x:c>
      <x:c r="D7" s="31" t="n">
        <x:f>IFERROR(SUMPRODUCT('三级证据评分'!$K$92:$K$109,'三级指标树'!$G$2:$G$19)/SUM('三级指标树'!$G$2:$G$19),0)</x:f>
        <x:v>0</x:v>
      </x:c>
      <x:c r="E7" s="31" t="str">
        <x:f>IF(OR(D7&lt;参数!$B$2,'路径'!$N$7&lt;&gt;"候选"),"",IFERROR(SUMPRODUCT('三级证据评分'!$L$92:$L$109,'三级指标树'!$G$2:$G$19)/SUMPRODUCT('三级证据评分'!$K$92:$K$109,'三级指标树'!$G$2:$G$19),""))</x:f>
      </x:c>
      <x:c r="F7" s="31" t="str">
        <x:f>IF(OR(K7&lt;参数!$B$2,'路径'!$N$7&lt;&gt;"候选"),"",IFERROR(SUMPRODUCT('三级证据评分'!$L$92:$L$109,'3_2情景权重'!$I$2:$I$19)/SUMPRODUCT('三级证据评分'!$K$92:$K$109,'3_2情景权重'!$I$2:$I$19),""))</x:f>
      </x:c>
      <x:c r="G7" s="31" t="str">
        <x:f>IF(OR(L7&lt;参数!$B$2,'路径'!$N$7&lt;&gt;"候选"),"",IFERROR(SUMPRODUCT('三级证据评分'!$L$92:$L$109,'3_2情景权重'!$J$2:$J$19)/SUMPRODUCT('三级证据评分'!$K$92:$K$109,'3_2情景权重'!$J$2:$J$19),""))</x:f>
      </x:c>
      <x:c r="H7" s="31" t="str">
        <x:f>IF(OR(M7&lt;参数!$B$2,'路径'!$N$7&lt;&gt;"候选"),"",IFERROR(SUMPRODUCT('三级证据评分'!$L$92:$L$109,'3_2情景权重'!$K$2:$K$19)/SUMPRODUCT('三级证据评分'!$K$92:$K$109,'3_2情景权重'!$K$2:$K$19),""))</x:f>
      </x:c>
      <x:c r="I7" t="str">
        <x:f>IF('路径'!$N$7="排除","硬约束不符-排除",IF('路径'!$N$7&lt;&gt;"候选","硬约束待确认-不可比较",IF(D7&lt;参数!$B$2,"证据不足","可比较（非录取预测）")))</x:f>
        <x:v>硬约束待确认-不可比较</x:v>
      </x:c>
      <x:c r="J7" t="inlineStr">
        <x:is>
          <x:t xml:space="preserve">需人工填分且来源与方向一致；2028目录未发布</x:t>
        </x:is>
      </x:c>
      <x:c r="K7" t="n">
        <x:f>IFERROR(SUMPRODUCT('三级证据评分'!$K$92:$K$109,'3_2情景权重'!$I$2:$I$19)/SUM('3_2情景权重'!$I$2:$I$19),0)</x:f>
        <x:v>0</x:v>
      </x:c>
      <x:c r="L7" t="n">
        <x:f>IFERROR(SUMPRODUCT('三级证据评分'!$K$92:$K$109,'3_2情景权重'!$J$2:$J$19)/SUM('3_2情景权重'!$J$2:$J$19),0)</x:f>
        <x:v>0</x:v>
      </x:c>
      <x:c r="M7" t="n">
        <x:f>IFERROR(SUMPRODUCT('三级证据评分'!$K$92:$K$109,'3_2情景权重'!$K$2:$K$19)/SUM('3_2情景权重'!$K$2:$K$19),0)</x:f>
        <x:v>0</x:v>
      </x:c>
      <x:c r="P7" t="str">
        <x:f>IF('路径'!$N$7="排除","硬约束不符-排除",IF('路径'!$N$7&lt;&gt;"候选","硬约束待确认-不可比较",IF(K7&lt;参数!$B$2,"证据不足","可比较（非录取预测）")))</x:f>
        <x:v>硬约束待确认-不可比较</x:v>
      </x:c>
      <x:c r="Q7" t="str">
        <x:f>IF('路径'!$N$7="排除","硬约束不符-排除",IF('路径'!$N$7&lt;&gt;"候选","硬约束待确认-不可比较",IF(L7&lt;参数!$B$2,"证据不足","可比较（非录取预测）")))</x:f>
        <x:v>硬约束待确认-不可比较</x:v>
      </x:c>
      <x:c r="R7" t="str">
        <x:f>IF('路径'!$N$7="排除","硬约束不符-排除",IF('路径'!$N$7&lt;&gt;"候选","硬约束待确认-不可比较",IF(M7&lt;参数!$B$2,"证据不足","可比较（非录取预测）")))</x:f>
        <x:v>硬约束待确认-不可比较</x:v>
      </x:c>
    </x:row>
    <x:row r="8">
      <x:c r="A8" t="inlineStr">
        <x:is>
          <x:t xml:space="preserve">P07</x:t>
        </x:is>
      </x:c>
      <x:c r="B8" t="inlineStr">
        <x:is>
          <x:t xml:space="preserve">合肥工业大学</x:t>
        </x:is>
      </x:c>
      <x:c r="C8" t="inlineStr">
        <x:is>
          <x:t xml:space="preserve">021/卓工路径</x:t>
        </x:is>
      </x:c>
      <x:c r="D8" s="31" t="n">
        <x:f>IFERROR(SUMPRODUCT('三级证据评分'!$K$110:$K$127,'三级指标树'!$G$2:$G$19)/SUM('三级指标树'!$G$2:$G$19),0)</x:f>
        <x:v>0</x:v>
      </x:c>
      <x:c r="E8" s="31" t="str">
        <x:f>IF(OR(D8&lt;参数!$B$2,'路径'!$N$8&lt;&gt;"候选"),"",IFERROR(SUMPRODUCT('三级证据评分'!$L$110:$L$127,'三级指标树'!$G$2:$G$19)/SUMPRODUCT('三级证据评分'!$K$110:$K$127,'三级指标树'!$G$2:$G$19),""))</x:f>
      </x:c>
      <x:c r="F8" s="31" t="str">
        <x:f>IF(OR(K8&lt;参数!$B$2,'路径'!$N$8&lt;&gt;"候选"),"",IFERROR(SUMPRODUCT('三级证据评分'!$L$110:$L$127,'3_2情景权重'!$I$2:$I$19)/SUMPRODUCT('三级证据评分'!$K$110:$K$127,'3_2情景权重'!$I$2:$I$19),""))</x:f>
      </x:c>
      <x:c r="G8" s="31" t="str">
        <x:f>IF(OR(L8&lt;参数!$B$2,'路径'!$N$8&lt;&gt;"候选"),"",IFERROR(SUMPRODUCT('三级证据评分'!$L$110:$L$127,'3_2情景权重'!$J$2:$J$19)/SUMPRODUCT('三级证据评分'!$K$110:$K$127,'3_2情景权重'!$J$2:$J$19),""))</x:f>
      </x:c>
      <x:c r="H8" s="31" t="str">
        <x:f>IF(OR(M8&lt;参数!$B$2,'路径'!$N$8&lt;&gt;"候选"),"",IFERROR(SUMPRODUCT('三级证据评分'!$L$110:$L$127,'3_2情景权重'!$K$2:$K$19)/SUMPRODUCT('三级证据评分'!$K$110:$K$127,'3_2情景权重'!$K$2:$K$19),""))</x:f>
      </x:c>
      <x:c r="I8" t="str">
        <x:f>IF('路径'!$N$8="排除","硬约束不符-排除",IF('路径'!$N$8&lt;&gt;"候选","硬约束待确认-不可比较",IF(D8&lt;参数!$B$2,"证据不足","可比较（非录取预测）")))</x:f>
        <x:v>硬约束待确认-不可比较</x:v>
      </x:c>
      <x:c r="J8" t="inlineStr">
        <x:is>
          <x:t xml:space="preserve">需人工填分且来源与方向一致；2028目录未发布</x:t>
        </x:is>
      </x:c>
      <x:c r="K8" t="n">
        <x:f>IFERROR(SUMPRODUCT('三级证据评分'!$K$110:$K$127,'3_2情景权重'!$I$2:$I$19)/SUM('3_2情景权重'!$I$2:$I$19),0)</x:f>
        <x:v>0</x:v>
      </x:c>
      <x:c r="L8" t="n">
        <x:f>IFERROR(SUMPRODUCT('三级证据评分'!$K$110:$K$127,'3_2情景权重'!$J$2:$J$19)/SUM('3_2情景权重'!$J$2:$J$19),0)</x:f>
        <x:v>0</x:v>
      </x:c>
      <x:c r="M8" t="n">
        <x:f>IFERROR(SUMPRODUCT('三级证据评分'!$K$110:$K$127,'3_2情景权重'!$K$2:$K$19)/SUM('3_2情景权重'!$K$2:$K$19),0)</x:f>
        <x:v>0</x:v>
      </x:c>
      <x:c r="P8" t="str">
        <x:f>IF('路径'!$N$8="排除","硬约束不符-排除",IF('路径'!$N$8&lt;&gt;"候选","硬约束待确认-不可比较",IF(K8&lt;参数!$B$2,"证据不足","可比较（非录取预测）")))</x:f>
        <x:v>硬约束待确认-不可比较</x:v>
      </x:c>
      <x:c r="Q8" t="str">
        <x:f>IF('路径'!$N$8="排除","硬约束不符-排除",IF('路径'!$N$8&lt;&gt;"候选","硬约束待确认-不可比较",IF(L8&lt;参数!$B$2,"证据不足","可比较（非录取预测）")))</x:f>
        <x:v>硬约束待确认-不可比较</x:v>
      </x:c>
      <x:c r="R8" t="str">
        <x:f>IF('路径'!$N$8="排除","硬约束不符-排除",IF('路径'!$N$8&lt;&gt;"候选","硬约束待确认-不可比较",IF(M8&lt;参数!$B$2,"证据不足","可比较（非录取预测）")))</x:f>
        <x:v>硬约束待确认-不可比较</x:v>
      </x:c>
    </x:row>
    <x:row r="9">
      <x:c r="A9" t="inlineStr">
        <x:is>
          <x:t xml:space="preserve">P08</x:t>
        </x:is>
      </x:c>
      <x:c r="B9" t="inlineStr">
        <x:is>
          <x:t xml:space="preserve">合肥工业大学</x:t>
        </x:is>
      </x:c>
      <x:c r="C9" t="inlineStr">
        <x:is>
          <x:t xml:space="preserve">023/创新学院</x:t>
        </x:is>
      </x:c>
      <x:c r="D9" s="31" t="n">
        <x:f>IFERROR(SUMPRODUCT('三级证据评分'!$K$128:$K$145,'三级指标树'!$G$2:$G$19)/SUM('三级指标树'!$G$2:$G$19),0)</x:f>
        <x:v>0</x:v>
      </x:c>
      <x:c r="E9" s="31" t="str">
        <x:f>IF(OR(D9&lt;参数!$B$2,'路径'!$N$9&lt;&gt;"候选"),"",IFERROR(SUMPRODUCT('三级证据评分'!$L$128:$L$145,'三级指标树'!$G$2:$G$19)/SUMPRODUCT('三级证据评分'!$K$128:$K$145,'三级指标树'!$G$2:$G$19),""))</x:f>
      </x:c>
      <x:c r="F9" s="31" t="str">
        <x:f>IF(OR(K9&lt;参数!$B$2,'路径'!$N$9&lt;&gt;"候选"),"",IFERROR(SUMPRODUCT('三级证据评分'!$L$128:$L$145,'3_2情景权重'!$I$2:$I$19)/SUMPRODUCT('三级证据评分'!$K$128:$K$145,'3_2情景权重'!$I$2:$I$19),""))</x:f>
      </x:c>
      <x:c r="G9" s="31" t="str">
        <x:f>IF(OR(L9&lt;参数!$B$2,'路径'!$N$9&lt;&gt;"候选"),"",IFERROR(SUMPRODUCT('三级证据评分'!$L$128:$L$145,'3_2情景权重'!$J$2:$J$19)/SUMPRODUCT('三级证据评分'!$K$128:$K$145,'3_2情景权重'!$J$2:$J$19),""))</x:f>
      </x:c>
      <x:c r="H9" s="31" t="str">
        <x:f>IF(OR(M9&lt;参数!$B$2,'路径'!$N$9&lt;&gt;"候选"),"",IFERROR(SUMPRODUCT('三级证据评分'!$L$128:$L$145,'3_2情景权重'!$K$2:$K$19)/SUMPRODUCT('三级证据评分'!$K$128:$K$145,'3_2情景权重'!$K$2:$K$19),""))</x:f>
      </x:c>
      <x:c r="I9" t="str">
        <x:f>IF('路径'!$N$9="排除","硬约束不符-排除",IF('路径'!$N$9&lt;&gt;"候选","硬约束待确认-不可比较",IF(D9&lt;参数!$B$2,"证据不足","可比较（非录取预测）")))</x:f>
        <x:v>硬约束待确认-不可比较</x:v>
      </x:c>
      <x:c r="J9" t="inlineStr">
        <x:is>
          <x:t xml:space="preserve">需人工填分且来源与方向一致；2028目录未发布</x:t>
        </x:is>
      </x:c>
      <x:c r="K9" t="n">
        <x:f>IFERROR(SUMPRODUCT('三级证据评分'!$K$128:$K$145,'3_2情景权重'!$I$2:$I$19)/SUM('3_2情景权重'!$I$2:$I$19),0)</x:f>
        <x:v>0</x:v>
      </x:c>
      <x:c r="L9" t="n">
        <x:f>IFERROR(SUMPRODUCT('三级证据评分'!$K$128:$K$145,'3_2情景权重'!$J$2:$J$19)/SUM('3_2情景权重'!$J$2:$J$19),0)</x:f>
        <x:v>0</x:v>
      </x:c>
      <x:c r="M9" t="n">
        <x:f>IFERROR(SUMPRODUCT('三级证据评分'!$K$128:$K$145,'3_2情景权重'!$K$2:$K$19)/SUM('3_2情景权重'!$K$2:$K$19),0)</x:f>
        <x:v>0</x:v>
      </x:c>
      <x:c r="P9" t="str">
        <x:f>IF('路径'!$N$9="排除","硬约束不符-排除",IF('路径'!$N$9&lt;&gt;"候选","硬约束待确认-不可比较",IF(K9&lt;参数!$B$2,"证据不足","可比较（非录取预测）")))</x:f>
        <x:v>硬约束待确认-不可比较</x:v>
      </x:c>
      <x:c r="Q9" t="str">
        <x:f>IF('路径'!$N$9="排除","硬约束不符-排除",IF('路径'!$N$9&lt;&gt;"候选","硬约束待确认-不可比较",IF(L9&lt;参数!$B$2,"证据不足","可比较（非录取预测）")))</x:f>
        <x:v>硬约束待确认-不可比较</x:v>
      </x:c>
      <x:c r="R9" t="str">
        <x:f>IF('路径'!$N$9="排除","硬约束不符-排除",IF('路径'!$N$9&lt;&gt;"候选","硬约束待确认-不可比较",IF(M9&lt;参数!$B$2,"证据不足","可比较（非录取预测）")))</x:f>
        <x:v>硬约束待确认-不可比较</x:v>
      </x:c>
    </x:row>
    <x:row r="10">
      <x:c r="A10" t="inlineStr">
        <x:is>
          <x:t xml:space="preserve">P09</x:t>
        </x:is>
      </x:c>
      <x:c r="B10" t="inlineStr">
        <x:is>
          <x:t xml:space="preserve">西南交通大学</x:t>
        </x:is>
      </x:c>
      <x:c r="C10" t="inlineStr">
        <x:is>
          <x:t xml:space="preserve">004/人工智能</x:t>
        </x:is>
      </x:c>
      <x:c r="D10" s="31" t="n">
        <x:f>IFERROR(SUMPRODUCT('三级证据评分'!$K$146:$K$163,'三级指标树'!$G$2:$G$19)/SUM('三级指标树'!$G$2:$G$19),0)</x:f>
        <x:v>0</x:v>
      </x:c>
      <x:c r="E10" s="31" t="str">
        <x:f>IF(OR(D10&lt;参数!$B$2,'路径'!$N$10&lt;&gt;"候选"),"",IFERROR(SUMPRODUCT('三级证据评分'!$L$146:$L$163,'三级指标树'!$G$2:$G$19)/SUMPRODUCT('三级证据评分'!$K$146:$K$163,'三级指标树'!$G$2:$G$19),""))</x:f>
      </x:c>
      <x:c r="F10" s="31" t="str">
        <x:f>IF(OR(K10&lt;参数!$B$2,'路径'!$N$10&lt;&gt;"候选"),"",IFERROR(SUMPRODUCT('三级证据评分'!$L$146:$L$163,'3_2情景权重'!$I$2:$I$19)/SUMPRODUCT('三级证据评分'!$K$146:$K$163,'3_2情景权重'!$I$2:$I$19),""))</x:f>
      </x:c>
      <x:c r="G10" s="31" t="str">
        <x:f>IF(OR(L10&lt;参数!$B$2,'路径'!$N$10&lt;&gt;"候选"),"",IFERROR(SUMPRODUCT('三级证据评分'!$L$146:$L$163,'3_2情景权重'!$J$2:$J$19)/SUMPRODUCT('三级证据评分'!$K$146:$K$163,'3_2情景权重'!$J$2:$J$19),""))</x:f>
      </x:c>
      <x:c r="H10" s="31" t="str">
        <x:f>IF(OR(M10&lt;参数!$B$2,'路径'!$N$10&lt;&gt;"候选"),"",IFERROR(SUMPRODUCT('三级证据评分'!$L$146:$L$163,'3_2情景权重'!$K$2:$K$19)/SUMPRODUCT('三级证据评分'!$K$146:$K$163,'3_2情景权重'!$K$2:$K$19),""))</x:f>
      </x:c>
      <x:c r="I10" t="str">
        <x:f>IF('路径'!$N$10="排除","硬约束不符-排除",IF('路径'!$N$10&lt;&gt;"候选","硬约束待确认-不可比较",IF(D10&lt;参数!$B$2,"证据不足","可比较（非录取预测）")))</x:f>
        <x:v>硬约束待确认-不可比较</x:v>
      </x:c>
      <x:c r="J10" t="inlineStr">
        <x:is>
          <x:t xml:space="preserve">需人工填分且来源与方向一致；2028目录未发布</x:t>
        </x:is>
      </x:c>
      <x:c r="K10" t="n">
        <x:f>IFERROR(SUMPRODUCT('三级证据评分'!$K$146:$K$163,'3_2情景权重'!$I$2:$I$19)/SUM('3_2情景权重'!$I$2:$I$19),0)</x:f>
        <x:v>0</x:v>
      </x:c>
      <x:c r="L10" t="n">
        <x:f>IFERROR(SUMPRODUCT('三级证据评分'!$K$146:$K$163,'3_2情景权重'!$J$2:$J$19)/SUM('3_2情景权重'!$J$2:$J$19),0)</x:f>
        <x:v>0</x:v>
      </x:c>
      <x:c r="M10" t="n">
        <x:f>IFERROR(SUMPRODUCT('三级证据评分'!$K$146:$K$163,'3_2情景权重'!$K$2:$K$19)/SUM('3_2情景权重'!$K$2:$K$19),0)</x:f>
        <x:v>0</x:v>
      </x:c>
      <x:c r="P10" t="str">
        <x:f>IF('路径'!$N$10="排除","硬约束不符-排除",IF('路径'!$N$10&lt;&gt;"候选","硬约束待确认-不可比较",IF(K10&lt;参数!$B$2,"证据不足","可比较（非录取预测）")))</x:f>
        <x:v>硬约束待确认-不可比较</x:v>
      </x:c>
      <x:c r="Q10" t="str">
        <x:f>IF('路径'!$N$10="排除","硬约束不符-排除",IF('路径'!$N$10&lt;&gt;"候选","硬约束待确认-不可比较",IF(L10&lt;参数!$B$2,"证据不足","可比较（非录取预测）")))</x:f>
        <x:v>硬约束待确认-不可比较</x:v>
      </x:c>
      <x:c r="R10" t="str">
        <x:f>IF('路径'!$N$10="排除","硬约束不符-排除",IF('路径'!$N$10&lt;&gt;"候选","硬约束待确认-不可比较",IF(M10&lt;参数!$B$2,"证据不足","可比较（非录取预测）")))</x:f>
        <x:v>硬约束待确认-不可比较</x:v>
      </x:c>
    </x:row>
    <x:row r="11">
      <x:c r="A11" t="inlineStr">
        <x:is>
          <x:t xml:space="preserve">P10</x:t>
        </x:is>
      </x:c>
      <x:c r="B11" t="inlineStr">
        <x:is>
          <x:t xml:space="preserve">西南交通大学</x:t>
        </x:is>
      </x:c>
      <x:c r="C11" t="inlineStr">
        <x:is>
          <x:t xml:space="preserve">048/人工智能</x:t>
        </x:is>
      </x:c>
      <x:c r="D11" s="31" t="n">
        <x:f>IFERROR(SUMPRODUCT('三级证据评分'!$K$164:$K$181,'三级指标树'!$G$2:$G$19)/SUM('三级指标树'!$G$2:$G$19),0)</x:f>
        <x:v>0</x:v>
      </x:c>
      <x:c r="E11" s="31" t="str">
        <x:f>IF(OR(D11&lt;参数!$B$2,'路径'!$N$11&lt;&gt;"候选"),"",IFERROR(SUMPRODUCT('三级证据评分'!$L$164:$L$181,'三级指标树'!$G$2:$G$19)/SUMPRODUCT('三级证据评分'!$K$164:$K$181,'三级指标树'!$G$2:$G$19),""))</x:f>
      </x:c>
      <x:c r="F11" s="31" t="str">
        <x:f>IF(OR(K11&lt;参数!$B$2,'路径'!$N$11&lt;&gt;"候选"),"",IFERROR(SUMPRODUCT('三级证据评分'!$L$164:$L$181,'3_2情景权重'!$I$2:$I$19)/SUMPRODUCT('三级证据评分'!$K$164:$K$181,'3_2情景权重'!$I$2:$I$19),""))</x:f>
      </x:c>
      <x:c r="G11" s="31" t="str">
        <x:f>IF(OR(L11&lt;参数!$B$2,'路径'!$N$11&lt;&gt;"候选"),"",IFERROR(SUMPRODUCT('三级证据评分'!$L$164:$L$181,'3_2情景权重'!$J$2:$J$19)/SUMPRODUCT('三级证据评分'!$K$164:$K$181,'3_2情景权重'!$J$2:$J$19),""))</x:f>
      </x:c>
      <x:c r="H11" s="31" t="str">
        <x:f>IF(OR(M11&lt;参数!$B$2,'路径'!$N$11&lt;&gt;"候选"),"",IFERROR(SUMPRODUCT('三级证据评分'!$L$164:$L$181,'3_2情景权重'!$K$2:$K$19)/SUMPRODUCT('三级证据评分'!$K$164:$K$181,'3_2情景权重'!$K$2:$K$19),""))</x:f>
      </x:c>
      <x:c r="I11" t="str">
        <x:f>IF('路径'!$N$11="排除","硬约束不符-排除",IF('路径'!$N$11&lt;&gt;"候选","硬约束待确认-不可比较",IF(D11&lt;参数!$B$2,"证据不足","可比较（非录取预测）")))</x:f>
        <x:v>硬约束待确认-不可比较</x:v>
      </x:c>
      <x:c r="J11" t="inlineStr">
        <x:is>
          <x:t xml:space="preserve">需人工填分且来源与方向一致；2028目录未发布</x:t>
        </x:is>
      </x:c>
      <x:c r="K11" t="n">
        <x:f>IFERROR(SUMPRODUCT('三级证据评分'!$K$164:$K$181,'3_2情景权重'!$I$2:$I$19)/SUM('3_2情景权重'!$I$2:$I$19),0)</x:f>
        <x:v>0</x:v>
      </x:c>
      <x:c r="L11" t="n">
        <x:f>IFERROR(SUMPRODUCT('三级证据评分'!$K$164:$K$181,'3_2情景权重'!$J$2:$J$19)/SUM('3_2情景权重'!$J$2:$J$19),0)</x:f>
        <x:v>0</x:v>
      </x:c>
      <x:c r="M11" t="n">
        <x:f>IFERROR(SUMPRODUCT('三级证据评分'!$K$164:$K$181,'3_2情景权重'!$K$2:$K$19)/SUM('3_2情景权重'!$K$2:$K$19),0)</x:f>
        <x:v>0</x:v>
      </x:c>
      <x:c r="P11" t="str">
        <x:f>IF('路径'!$N$11="排除","硬约束不符-排除",IF('路径'!$N$11&lt;&gt;"候选","硬约束待确认-不可比较",IF(K11&lt;参数!$B$2,"证据不足","可比较（非录取预测）")))</x:f>
        <x:v>硬约束待确认-不可比较</x:v>
      </x:c>
      <x:c r="Q11" t="str">
        <x:f>IF('路径'!$N$11="排除","硬约束不符-排除",IF('路径'!$N$11&lt;&gt;"候选","硬约束待确认-不可比较",IF(L11&lt;参数!$B$2,"证据不足","可比较（非录取预测）")))</x:f>
        <x:v>硬约束待确认-不可比较</x:v>
      </x:c>
      <x:c r="R11" t="str">
        <x:f>IF('路径'!$N$11="排除","硬约束不符-排除",IF('路径'!$N$11&lt;&gt;"候选","硬约束待确认-不可比较",IF(M11&lt;参数!$B$2,"证据不足","可比较（非录取预测）")))</x:f>
        <x:v>硬约束待确认-不可比较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0" style="12" customWidth="1"/>
    <x:col min="2" max="2" width="105" style="12" customWidth="1"/>
  </x:cols>
  <x:sheetData>
    <x:row r="1">
      <x:c r="A1" s="18" t="inlineStr">
        <x:is>
          <x:t xml:space="preserve">项目</x:t>
        </x:is>
      </x:c>
      <x:c r="B1" s="18" t="inlineStr">
        <x:is>
          <x:t xml:space="preserve">Phase 3.2：证据候选映射与情景敏感性</x:t>
        </x:is>
      </x:c>
    </x:row>
    <x:row r="2">
      <x:c r="A2" t="inlineStr">
        <x:is>
          <x:t xml:space="preserve">基础</x:t>
        </x:is>
      </x:c>
      <x:c r="B2" t="inlineStr">
        <x:is>
          <x:t xml:space="preserve">沿用 Phase 3.1 10条路径×18项指标=180评分格</x:t>
        </x:is>
      </x:c>
    </x:row>
    <x:row r="3">
      <x:c r="A3" t="inlineStr">
        <x:is>
          <x:t xml:space="preserve">资源记录</x:t>
        </x:is>
      </x:c>
      <x:c r="B3" t="n">
        <x:v>36</x:v>
      </x:c>
    </x:row>
    <x:row r="4">
      <x:c r="A4" t="inlineStr">
        <x:is>
          <x:t xml:space="preserve">风险记录</x:t>
        </x:is>
      </x:c>
      <x:c r="B4" t="n">
        <x:v>44</x:v>
      </x:c>
    </x:row>
    <x:row r="5">
      <x:c r="A5" t="inlineStr">
        <x:is>
          <x:t xml:space="preserve">映射候选</x:t>
        </x:is>
      </x:c>
      <x:c r="B5" t="n">
        <x:v>207</x:v>
      </x:c>
    </x:row>
    <x:row r="6">
      <x:c r="A6" t="inlineStr">
        <x:is>
          <x:t xml:space="preserve">关键边界</x:t>
        </x:is>
      </x:c>
      <x:c r="B6" t="inlineStr">
        <x:is>
          <x:t xml:space="preserve">证据映射是候选，不等于证实指标；所有评分保留空白</x:t>
        </x:is>
      </x:c>
    </x:row>
    <x:row r="7">
      <x:c r="A7" t="inlineStr">
        <x:is>
          <x:t xml:space="preserve">匹配逻辑</x:t>
        </x:is>
      </x:c>
      <x:c r="B7" t="inlineStr">
        <x:is>
          <x:t xml:space="preserve">学校+学院码+专业码+全日制；方向、年度、导师、实际可进入性仍须人工审核</x:t>
        </x:is>
      </x:c>
    </x:row>
    <x:row r="8">
      <x:c r="A8" t="inlineStr">
        <x:is>
          <x:t xml:space="preserve">评分位置</x:t>
        </x:is>
      </x:c>
      <x:c r="B8" t="inlineStr">
        <x:is>
          <x:t xml:space="preserve">三级证据评分 E 列填写1–5；F列填写核验来源；G/H列标记事实和证据级别</x:t>
        </x:is>
      </x:c>
    </x:row>
    <x:row r="9">
      <x:c r="A9" t="inlineStr">
        <x:is>
          <x:t xml:space="preserve">情景说明</x:t>
        </x:is>
      </x:c>
      <x:c r="B9" t="inlineStr">
        <x:is>
          <x:t xml:space="preserve">职业/报考/科研优先为可编辑倍率，自动归一；不是概率</x:t>
        </x:is>
      </x:c>
    </x:row>
    <x:row r="10">
      <x:c r="A10" t="inlineStr">
        <x:is>
          <x:t xml:space="preserve">比较门槛</x:t>
        </x:is>
      </x:c>
      <x:c r="B10" t="inlineStr">
        <x:is>
          <x:t xml:space="preserve">已填指标对应原权重覆盖率≥80%才显示情景分数；覆盖率不等于证据质量</x:t>
        </x:is>
      </x:c>
    </x:row>
    <x:row r="11">
      <x:c r="A11" t="inlineStr">
        <x:is>
          <x:t xml:space="preserve">硬约束</x:t>
        </x:is>
      </x:c>
      <x:c r="B11" t="inlineStr">
        <x:is>
          <x:t xml:space="preserve">情景表不替代「路径」工作表的全日制/专业/年度硬约束</x:t>
        </x:is>
      </x:c>
    </x:row>
    <x:row r="12">
      <x:c r="A12" t="inlineStr">
        <x:is>
          <x:t xml:space="preserve">跨阶段冲突</x:t>
        </x:is>
      </x:c>
      <x:c r="B12" t="inlineStr">
        <x:is>
          <x:t xml:space="preserve">西南交大2027目录PDF取得状态有冲突；北邮2027目录原件缺失</x:t>
        </x:is>
      </x:c>
    </x:row>
    <x:row r="13">
      <x:c r="A13" t="inlineStr">
        <x:is>
          <x:t xml:space="preserve">未验证</x:t>
        </x:is>
      </x:c>
      <x:c r="B13" t="inlineStr">
        <x:is>
          <x:t xml:space="preserve">未独立打开官方URL核实WorkBuddy声称的事实；不得作为确定性招生结论</x:t>
        </x:is>
      </x:c>
    </x:row>
    <x:row r="14">
      <x:c r="A14" t="inlineStr">
        <x:is>
          <x:t xml:space="preserve">禁止</x:t>
        </x:is>
      </x:c>
      <x:c r="B14" t="inlineStr">
        <x:is>
          <x:t xml:space="preserve">不排名、不编造录取概率、不把未填项视为0、不把资源存在等同于可进入</x:t>
        </x:is>
      </x:c>
    </x:row>
    <x:row r="15">
      <x:c r="A15" t="inlineStr">
        <x:is>
          <x:t xml:space="preserve">3.7B修复</x:t>
        </x:is>
      </x:c>
      <x:c r="B15" t="inlineStr">
        <x:is>
          <x:t xml:space="preserve">评分合法性(1-5整数+来源)、免疫错误传播的掩码、来源登记、阈值参数化、情景覆盖、硬约束三态、权重校验</x:t>
        </x:is>
      </x:c>
    </x:row>
    <x:row r="16">
      <x:c r="A16" t="inlineStr">
        <x:is>
          <x:t xml:space="preserve">3.7B待人工</x:t>
        </x:is>
      </x:c>
      <x:c r="B16" t="inlineStr">
        <x:is>
          <x:t xml:space="preserve">source_id 与来源登记表的公式级自动匹配需人工复核; 2028目录发布后须重核硬约束</x:t>
        </x:is>
      </x:c>
    </x:row>
    <x:row r="17">
      <x:c r="A17" t="inlineStr">
        <x:is>
          <x:t xml:space="preserve">端到端测试环境</x:t>
        </x:is>
      </x:c>
      <x:c r="B17" t="inlineStr">
        <x:is>
          <x:t xml:space="preserve">LibreOffice 24.2.7.2 headless 真实性重算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style="12" customWidth="1"/>
    <x:col min="2" max="2" width="25" style="12" customWidth="1"/>
    <x:col min="3" max="3" width="25" style="12" customWidth="1"/>
    <x:col min="4" max="4" width="75" style="12" customWidth="1"/>
  </x:cols>
  <x:sheetData>
    <x:row r="1" s="12" customFormat="1" ht="30" customHeight="1">
      <x:c r="A1" s="21" t="inlineStr">
        <x:is>
          <x:t xml:space="preserve">检查项</x:t>
        </x:is>
      </x:c>
      <x:c r="B1" s="21" t="inlineStr">
        <x:is>
          <x:t xml:space="preserve">当前结果</x:t>
        </x:is>
      </x:c>
      <x:c r="C1" s="21" t="inlineStr">
        <x:is>
          <x:t xml:space="preserve">验收结论</x:t>
        </x:is>
      </x:c>
      <x:c r="D1" s="21" t="inlineStr">
        <x:is>
          <x:t xml:space="preserve">解释/后续动作</x:t>
        </x:is>
      </x:c>
    </x:row>
    <x:row r="2">
      <x:c r="A2" t="inlineStr">
        <x:is>
          <x:t xml:space="preserve">路径数</x:t>
        </x:is>
      </x:c>
      <x:c r="B2" t="n">
        <x:v>10</x:v>
      </x:c>
      <x:c r="C2" t="inlineStr">
        <x:is>
          <x:t xml:space="preserve">通过</x:t>
        </x:is>
      </x:c>
      <x:c r="D2" t="inlineStr">
        <x:is>
          <x:t xml:space="preserve">10条路径独立保留</x:t>
        </x:is>
      </x:c>
    </x:row>
    <x:row r="3">
      <x:c r="A3" t="inlineStr">
        <x:is>
          <x:t xml:space="preserve">三级评分记录</x:t>
        </x:is>
      </x:c>
      <x:c r="B3" t="n">
        <x:v>180</x:v>
      </x:c>
      <x:c r="C3" t="inlineStr">
        <x:is>
          <x:t xml:space="preserve">通过</x:t>
        </x:is>
      </x:c>
      <x:c r="D3" t="inlineStr">
        <x:is>
          <x:t xml:space="preserve">10路径×18指标</x:t>
        </x:is>
      </x:c>
    </x:row>
    <x:row r="4">
      <x:c r="A4" t="inlineStr">
        <x:is>
          <x:t xml:space="preserve">三级权重合计</x:t>
        </x:is>
      </x:c>
      <x:c r="B4" t="n">
        <x:v>1</x:v>
      </x:c>
      <x:c r="C4" t="inlineStr">
        <x:is>
          <x:t xml:space="preserve">通过</x:t>
        </x:is>
      </x:c>
      <x:c r="D4" t="inlineStr">
        <x:is>
          <x:t xml:space="preserve">检查权重基础值，不代表动态扰动已测试</x:t>
        </x:is>
      </x:c>
    </x:row>
    <x:row r="5">
      <x:c r="A5" t="inlineStr">
        <x:is>
          <x:t xml:space="preserve">有分值的记录数</x:t>
        </x:is>
      </x:c>
      <x:c r="B5" t="n">
        <x:v>0</x:v>
      </x:c>
      <x:c r="C5" t="inlineStr">
        <x:is>
          <x:t xml:space="preserve">未满足比较前提</x:t>
        </x:is>
      </x:c>
      <x:c r="D5" t="inlineStr">
        <x:is>
          <x:t xml:space="preserve">尚未开展真实证据评分；不生成排名</x:t>
        </x:is>
      </x:c>
    </x:row>
    <x:row r="6">
      <x:c r="A6" t="inlineStr">
        <x:is>
          <x:t xml:space="preserve">当前硬约束通过数</x:t>
        </x:is>
      </x:c>
      <x:c r="B6" t="n">
        <x:v>0</x:v>
      </x:c>
      <x:c r="C6" t="inlineStr">
        <x:is>
          <x:t xml:space="preserve">待2028招生公告</x:t>
        </x:is>
      </x:c>
      <x:c r="D6" t="inlineStr">
        <x:is>
          <x:t xml:space="preserve">不能以历史招生路径替代2028核验</x:t>
        </x:is>
      </x:c>
    </x:row>
    <x:row r="7">
      <x:c r="A7" t="inlineStr">
        <x:is>
          <x:t xml:space="preserve">情景比较路径数</x:t>
        </x:is>
      </x:c>
      <x:c r="B7" t="n">
        <x:v>10</x:v>
      </x:c>
      <x:c r="C7" t="inlineStr">
        <x:is>
          <x:t xml:space="preserve">结构通过</x:t>
        </x:is>
      </x:c>
      <x:c r="D7" t="inlineStr">
        <x:is>
          <x:t xml:space="preserve">情景分值计算尚缺真实评分输入</x:t>
        </x:is>
      </x:c>
    </x:row>
    <x:row r="8">
      <x:c r="A8" t="inlineStr">
        <x:is>
          <x:t xml:space="preserve">权重扰动端到端测试</x:t>
        </x:is>
      </x:c>
      <x:c r="B8" t="inlineStr">
        <x:is>
          <x:t xml:space="preserve">未执行</x:t>
        </x:is>
      </x:c>
      <x:c r="C8" t="inlineStr">
        <x:is>
          <x:t xml:space="preserve">待测</x:t>
        </x:is>
      </x:c>
      <x:c r="D8" t="inlineStr">
        <x:is>
          <x:t xml:space="preserve">需要测试样本，不能声称已通过</x:t>
        </x:is>
      </x:c>
    </x:row>
    <x:row r="9">
      <x:c r="A9" t="inlineStr">
        <x:is>
          <x:t xml:space="preserve">缺失数据抗偏测试</x:t>
        </x:is>
      </x:c>
      <x:c r="B9" t="inlineStr">
        <x:is>
          <x:t xml:space="preserve">未执行</x:t>
        </x:is>
      </x:c>
      <x:c r="C9" t="inlineStr">
        <x:is>
          <x:t xml:space="preserve">待测</x:t>
        </x:is>
      </x:c>
      <x:c r="D9" t="inlineStr">
        <x:is>
          <x:t xml:space="preserve">应比较缺失率80%边界及低覆盖高分</x:t>
        </x:is>
      </x:c>
    </x:row>
    <x:row r="10">
      <x:c r="A10" t="inlineStr">
        <x:is>
          <x:t xml:space="preserve">来源逐条真实性复核</x:t>
        </x:is>
      </x:c>
      <x:c r="B10" t="inlineStr">
        <x:is>
          <x:t xml:space="preserve">未执行</x:t>
        </x:is>
      </x:c>
      <x:c r="C10" t="inlineStr">
        <x:is>
          <x:t xml:space="preserve">待核</x:t>
        </x:is>
      </x:c>
      <x:c r="D10" t="inlineStr">
        <x:is>
          <x:t xml:space="preserve">已有证据映射属于候选关系</x:t>
        </x:is>
      </x:c>
    </x:row>
    <x:row r="11">
      <x:c r="A11" t="inlineStr">
        <x:is>
          <x:t xml:space="preserve">最终可用于择校排名</x:t>
        </x:is>
      </x:c>
      <x:c r="B11" t="inlineStr">
        <x:is>
          <x:t xml:space="preserve">否</x:t>
        </x:is>
      </x:c>
      <x:c r="C11" t="inlineStr">
        <x:is>
          <x:t xml:space="preserve">禁止排名</x:t>
        </x:is>
      </x:c>
      <x:c r="D11" t="inlineStr">
        <x:is>
          <x:t xml:space="preserve">直到评分和核验覆盖满足要求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style="12" customWidth="1"/>
    <x:col min="2" max="2" width="54" style="12" customWidth="1"/>
    <x:col min="3" max="3" width="64" style="12" customWidth="1"/>
    <x:col min="4" max="4" width="22" style="12" customWidth="1"/>
  </x:cols>
  <x:sheetData>
    <x:row r="1" s="12" customFormat="1" ht="30" customHeight="1">
      <x:c r="A1" s="21" t="inlineStr">
        <x:is>
          <x:t xml:space="preserve">测试ID</x:t>
        </x:is>
      </x:c>
      <x:c r="B1" s="21" t="inlineStr">
        <x:is>
          <x:t xml:space="preserve">测试操作</x:t>
        </x:is>
      </x:c>
      <x:c r="C1" s="21" t="inlineStr">
        <x:is>
          <x:t xml:space="preserve">预期行为</x:t>
        </x:is>
      </x:c>
      <x:c r="D1" s="21" t="inlineStr">
        <x:is>
          <x:t xml:space="preserve">目前状态</x:t>
        </x:is>
      </x:c>
    </x:row>
    <x:row r="2">
      <x:c r="A2" t="inlineStr">
        <x:is>
          <x:t xml:space="preserve">T01</x:t>
        </x:is>
      </x:c>
      <x:c r="B2" t="inlineStr">
        <x:is>
          <x:t xml:space="preserve">修改一级权重并维持合计100</x:t>
        </x:is>
      </x:c>
      <x:c r="C2" t="inlineStr">
        <x:is>
          <x:t xml:space="preserve">三级全局权重和情景有效权重同步更新</x:t>
        </x:is>
      </x:c>
      <x:c r="D2" t="inlineStr">
        <x:is>
          <x:t xml:space="preserve">待实测</x:t>
        </x:is>
      </x:c>
    </x:row>
    <x:row r="3">
      <x:c r="A3" t="inlineStr">
        <x:is>
          <x:t xml:space="preserve">T02</x:t>
        </x:is>
      </x:c>
      <x:c r="B3" t="inlineStr">
        <x:is>
          <x:t xml:space="preserve">修改二级和三级同级权重</x:t>
        </x:is>
      </x:c>
      <x:c r="C3" t="inlineStr">
        <x:is>
          <x:t xml:space="preserve">相应路径评分按新权重变化</x:t>
        </x:is>
      </x:c>
      <x:c r="D3" t="inlineStr">
        <x:is>
          <x:t xml:space="preserve">待实测</x:t>
        </x:is>
      </x:c>
    </x:row>
    <x:row r="4">
      <x:c r="A4" t="inlineStr">
        <x:is>
          <x:t xml:space="preserve">T03</x:t>
        </x:is>
      </x:c>
      <x:c r="B4" t="inlineStr">
        <x:is>
          <x:t xml:space="preserve">全部指标未知</x:t>
        </x:is>
      </x:c>
      <x:c r="C4" t="inlineStr">
        <x:is>
          <x:t xml:space="preserve">不显示排名和评分；标注证据不足</x:t>
        </x:is>
      </x:c>
      <x:c r="D4" t="inlineStr">
        <x:is>
          <x:t xml:space="preserve">当前静态状态符合</x:t>
        </x:is>
      </x:c>
    </x:row>
    <x:row r="5">
      <x:c r="A5" t="inlineStr">
        <x:is>
          <x:t xml:space="preserve">T04</x:t>
        </x:is>
      </x:c>
      <x:c r="B5" t="inlineStr">
        <x:is>
          <x:t xml:space="preserve">仅1个高分指标其余未知</x:t>
        </x:is>
      </x:c>
      <x:c r="C5" t="inlineStr">
        <x:is>
          <x:t xml:space="preserve">不得因已知项5分认定该路径优</x:t>
        </x:is>
      </x:c>
      <x:c r="D5" t="inlineStr">
        <x:is>
          <x:t xml:space="preserve">待实测</x:t>
        </x:is>
      </x:c>
    </x:row>
    <x:row r="6">
      <x:c r="A6" t="inlineStr">
        <x:is>
          <x:t xml:space="preserve">T05</x:t>
        </x:is>
      </x:c>
      <x:c r="B6" t="inlineStr">
        <x:is>
          <x:t xml:space="preserve">评分权重覆盖79%/80%</x:t>
        </x:is>
      </x:c>
      <x:c r="C6" t="inlineStr">
        <x:is>
          <x:t xml:space="preserve">79%禁止比较；80%仅可有条件比较</x:t>
        </x:is>
      </x:c>
      <x:c r="D6" t="inlineStr">
        <x:is>
          <x:t xml:space="preserve">待实测</x:t>
        </x:is>
      </x:c>
    </x:row>
    <x:row r="7">
      <x:c r="A7" t="inlineStr">
        <x:is>
          <x:t xml:space="preserve">T06</x:t>
        </x:is>
      </x:c>
      <x:c r="B7" t="inlineStr">
        <x:is>
          <x:t xml:space="preserve">某路径硬约束设为否</x:t>
        </x:is>
      </x:c>
      <x:c r="C7" t="inlineStr">
        <x:is>
          <x:t xml:space="preserve">所有情景都排除该路径</x:t>
        </x:is>
      </x:c>
      <x:c r="D7" t="inlineStr">
        <x:is>
          <x:t xml:space="preserve">待实测</x:t>
        </x:is>
      </x:c>
    </x:row>
    <x:row r="8">
      <x:c r="A8" t="inlineStr">
        <x:is>
          <x:t xml:space="preserve">T07</x:t>
        </x:is>
      </x:c>
      <x:c r="B8" t="inlineStr">
        <x:is>
          <x:t xml:space="preserve">某路径硬约束设为待确认</x:t>
        </x:is>
      </x:c>
      <x:c r="C8" t="inlineStr">
        <x:is>
          <x:t xml:space="preserve">不得被认定已满足准入</x:t>
        </x:is>
      </x:c>
      <x:c r="D8" t="inlineStr">
        <x:is>
          <x:t xml:space="preserve">待实测</x:t>
        </x:is>
      </x:c>
    </x:row>
    <x:row r="9">
      <x:c r="A9" t="inlineStr">
        <x:is>
          <x:t xml:space="preserve">T08</x:t>
        </x:is>
      </x:c>
      <x:c r="B9" t="inlineStr">
        <x:is>
          <x:t xml:space="preserve">职业/报考/科研倍率改变</x:t>
        </x:is>
      </x:c>
      <x:c r="C9" t="inlineStr">
        <x:is>
          <x:t xml:space="preserve">各情景分数独立变化，倍率归一化</x:t>
        </x:is>
      </x:c>
      <x:c r="D9" t="inlineStr">
        <x:is>
          <x:t xml:space="preserve">待实测</x:t>
        </x:is>
      </x:c>
    </x:row>
    <x:row r="10">
      <x:c r="A10" t="inlineStr">
        <x:is>
          <x:t xml:space="preserve">T09</x:t>
        </x:is>
      </x:c>
      <x:c r="B10" t="inlineStr">
        <x:is>
          <x:t xml:space="preserve">相同评分不同证据可信度</x:t>
        </x:is>
      </x:c>
      <x:c r="C10" t="inlineStr">
        <x:is>
          <x:t xml:space="preserve">模型不能把来源等级当作已证实事实</x:t>
        </x:is>
      </x:c>
      <x:c r="D10" t="inlineStr">
        <x:is>
          <x:t xml:space="preserve">待实测</x:t>
        </x:is>
      </x:c>
    </x:row>
    <x:row r="11">
      <x:c r="A11" t="inlineStr">
        <x:is>
          <x:t xml:space="preserve">T10</x:t>
        </x:is>
      </x:c>
      <x:c r="B11" t="inlineStr">
        <x:is>
          <x:t xml:space="preserve">复制路径并修改学院或专业</x:t>
        </x:is>
      </x:c>
      <x:c r="C11" t="inlineStr">
        <x:is>
          <x:t xml:space="preserve">不得自动继承不匹配的学院级证据</x:t>
        </x:is>
      </x:c>
      <x:c r="D11" t="inlineStr">
        <x:is>
          <x:t xml:space="preserve">待实测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5" style="12" customWidth="1"/>
    <x:col min="2" max="2" width="24" style="12" customWidth="1"/>
    <x:col min="3" max="3" width="88" style="12" customWidth="1"/>
  </x:cols>
  <x:sheetData>
    <x:row r="1" s="12" customFormat="1" ht="30" customHeight="1">
      <x:c r="A1" s="24" t="inlineStr">
        <x:is>
          <x:t xml:space="preserve">Phase 3.4｜公式逻辑修复与压力测试协议</x:t>
        </x:is>
      </x:c>
      <x:c r="B1" s="24" t="inlineStr">
        <x:is>
          <x:t xml:space="preserve">状态</x:t>
        </x:is>
      </x:c>
      <x:c r="C1" s="24" t="inlineStr">
        <x:is>
          <x:t xml:space="preserve">判据 / 处理</x:t>
        </x:is>
      </x:c>
    </x:row>
    <x:row r="2">
      <x:c r="A2" s="25" t="inlineStr">
        <x:is>
          <x:t xml:space="preserve">实际数据状态</x:t>
        </x:is>
      </x:c>
      <x:c r="B2" s="25" t="inlineStr">
        <x:is>
          <x:t xml:space="preserve">未填真实评分</x:t>
        </x:is>
      </x:c>
      <x:c r="C2" s="25" t="inlineStr">
        <x:is>
          <x:t xml:space="preserve">不生成学校排名；2028目录尚待核实</x:t>
        </x:is>
      </x:c>
    </x:row>
    <x:row r="3">
      <x:c r="A3" s="25" t="inlineStr">
        <x:is>
          <x:t xml:space="preserve">缺失证据虚高</x:t>
        </x:is>
      </x:c>
      <x:c r="B3" s="25" t="inlineStr">
        <x:is>
          <x:t xml:space="preserve">已修复公式</x:t>
        </x:is>
      </x:c>
      <x:c r="C3" s="25" t="inlineStr">
        <x:is>
          <x:t xml:space="preserve">评分数字与来源ID同时存在才计入覆盖率与得分</x:t>
        </x:is>
      </x:c>
    </x:row>
    <x:row r="4">
      <x:c r="A4" s="25" t="inlineStr">
        <x:is>
          <x:t xml:space="preserve">硬约束过滤</x:t>
        </x:is>
      </x:c>
      <x:c r="B4" s="25" t="inlineStr">
        <x:is>
          <x:t xml:space="preserve">已修复公式</x:t>
        </x:is>
      </x:c>
      <x:c r="C4" s="25" t="inlineStr">
        <x:is>
          <x:t xml:space="preserve">路径N列必须为“符合”，否则情景分留空</x:t>
        </x:is>
      </x:c>
    </x:row>
    <x:row r="5">
      <x:c r="A5" s="25" t="inlineStr">
        <x:is>
          <x:t xml:space="preserve">覆盖率阈值</x:t>
        </x:is>
      </x:c>
      <x:c r="B5" s="25" t="inlineStr">
        <x:is>
          <x:t xml:space="preserve">已修复公式</x:t>
        </x:is>
      </x:c>
      <x:c r="C5" s="25" t="inlineStr">
        <x:is>
          <x:t xml:space="preserve">以基础权重计算，低于80%不得显示得分</x:t>
        </x:is>
      </x:c>
    </x:row>
    <x:row r="6">
      <x:c r="A6" s="25" t="inlineStr">
        <x:is>
          <x:t xml:space="preserve">多情景归一化</x:t>
        </x:is>
      </x:c>
      <x:c r="B6" s="25" t="inlineStr">
        <x:is>
          <x:t xml:space="preserve">沿用既有公式</x:t>
        </x:is>
      </x:c>
      <x:c r="C6" s="25" t="inlineStr">
        <x:is>
          <x:t xml:space="preserve">情景权重 I/J/K 按倍率归一化</x:t>
        </x:is>
      </x:c>
    </x:row>
    <x:row r="7">
      <x:c r="A7" s="25" t="inlineStr">
        <x:is>
          <x:t xml:space="preserve">测试用例T01</x:t>
        </x:is>
      </x:c>
      <x:c r="B7" s="25" t="inlineStr">
        <x:is>
          <x:t xml:space="preserve">待Excel实际执行</x:t>
        </x:is>
      </x:c>
      <x:c r="C7" s="25" t="inlineStr">
        <x:is>
          <x:t xml:space="preserve">输入18项均5分+来源；硬约束符合 → 4情景均为5</x:t>
        </x:is>
      </x:c>
    </x:row>
    <x:row r="8">
      <x:c r="A8" s="25" t="inlineStr">
        <x:is>
          <x:t xml:space="preserve">测试用例T02</x:t>
        </x:is>
      </x:c>
      <x:c r="B8" s="25" t="inlineStr">
        <x:is>
          <x:t xml:space="preserve">待Excel实际执行</x:t>
        </x:is>
      </x:c>
      <x:c r="C8" s="25" t="inlineStr">
        <x:is>
          <x:t xml:space="preserve">仅一个指标5分+来源 → 覆盖率&lt;80%，结果空白</x:t>
        </x:is>
      </x:c>
    </x:row>
    <x:row r="9">
      <x:c r="A9" s="25" t="inlineStr">
        <x:is>
          <x:t xml:space="preserve">测试用例T03</x:t>
        </x:is>
      </x:c>
      <x:c r="B9" s="25" t="inlineStr">
        <x:is>
          <x:t xml:space="preserve">待Excel实际执行</x:t>
        </x:is>
      </x:c>
      <x:c r="C9" s="25" t="inlineStr">
        <x:is>
          <x:t xml:space="preserve">18项5分但来源留空 → 覆盖率0，结果空白</x:t>
        </x:is>
      </x:c>
    </x:row>
    <x:row r="10">
      <x:c r="A10" s="25" t="inlineStr">
        <x:is>
          <x:t xml:space="preserve">测试用例T04</x:t>
        </x:is>
      </x:c>
      <x:c r="B10" s="25" t="inlineStr">
        <x:is>
          <x:t xml:space="preserve">待Excel实际执行</x:t>
        </x:is>
      </x:c>
      <x:c r="C10" s="25" t="inlineStr">
        <x:is>
          <x:t xml:space="preserve">18项5分+来源，硬约束否 → 结果空白</x:t>
        </x:is>
      </x:c>
    </x:row>
    <x:row r="11">
      <x:c r="A11" s="25" t="inlineStr">
        <x:is>
          <x:t xml:space="preserve">测试用例T05</x:t>
        </x:is>
      </x:c>
      <x:c r="B11" s="25" t="inlineStr">
        <x:is>
          <x:t xml:space="preserve">待Excel实际执行</x:t>
        </x:is>
      </x:c>
      <x:c r="C11" s="25" t="inlineStr">
        <x:is>
          <x:t xml:space="preserve">覆盖率刚低于80%与达到80%时，分别隐藏/显示</x:t>
        </x:is>
      </x:c>
    </x:row>
    <x:row r="12">
      <x:c r="A12" s="25" t="inlineStr">
        <x:is>
          <x:t xml:space="preserve">测试用例T06</x:t>
        </x:is>
      </x:c>
      <x:c r="B12" s="25" t="inlineStr">
        <x:is>
          <x:t xml:space="preserve">待Excel实际执行</x:t>
        </x:is>
      </x:c>
      <x:c r="C12" s="25" t="inlineStr">
        <x:is>
          <x:t xml:space="preserve">更改一级/二级/三级权重后检查总和=100%及结果变化</x:t>
        </x:is>
      </x:c>
    </x:row>
    <x:row r="13">
      <x:c r="A13" s="25" t="inlineStr">
        <x:is>
          <x:t xml:space="preserve">测试用例T07</x:t>
        </x:is>
      </x:c>
      <x:c r="B13" s="25" t="inlineStr">
        <x:is>
          <x:t xml:space="preserve">待Excel实际执行</x:t>
        </x:is>
      </x:c>
      <x:c r="C13" s="25" t="inlineStr">
        <x:is>
          <x:t xml:space="preserve">改变情景倍率后检查有效权重合计=1</x:t>
        </x:is>
      </x:c>
    </x:row>
    <x:row r="14">
      <x:c r="A14" s="25" t="inlineStr">
        <x:is>
          <x:t xml:space="preserve">保留问题</x:t>
        </x:is>
      </x:c>
      <x:c r="B14" s="25" t="inlineStr">
        <x:is>
          <x:t xml:space="preserve">待人工确认</x:t>
        </x:is>
      </x:c>
      <x:c r="C14" s="25" t="inlineStr">
        <x:is>
          <x:t xml:space="preserve">旧版“结果”页五维模型与新版三级模型并存；以3_2情景比较为准</x:t>
        </x:is>
      </x:c>
    </x:row>
    <x:row r="15">
      <x:c r="A15" s="25" t="inlineStr">
        <x:is>
          <x:t xml:space="preserve">重要限制</x:t>
        </x:is>
      </x:c>
      <x:c r="B15" s="25" t="inlineStr">
        <x:is>
          <x:t xml:space="preserve">未实测通过</x:t>
        </x:is>
      </x:c>
      <x:c r="C15" s="25" t="inlineStr">
        <x:is>
          <x:t xml:space="preserve">本次完成静态公式修复；未宣称Excel端端到端执行通过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12" customWidth="1"/>
    <x:col min="2" max="2" width="30" style="12" customWidth="1"/>
    <x:col min="3" max="3" width="33" style="12" customWidth="1"/>
    <x:col min="4" max="4" width="33" style="12" customWidth="1"/>
    <x:col min="5" max="5" width="18" style="12" customWidth="1"/>
    <x:col min="6" max="6" width="18" style="12" customWidth="1"/>
    <x:col min="7" max="7" width="42" style="12" customWidth="1"/>
  </x:cols>
  <x:sheetData>
    <x:row r="1">
      <x:c r="A1" s="28" t="inlineStr">
        <x:is>
          <x:t xml:space="preserve">测试ID</x:t>
        </x:is>
      </x:c>
      <x:c r="B1" s="28" t="inlineStr">
        <x:is>
          <x:t xml:space="preserve">场景（独立测试副本）</x:t>
        </x:is>
      </x:c>
      <x:c r="C1" s="28" t="inlineStr">
        <x:is>
          <x:t xml:space="preserve">输入</x:t>
        </x:is>
      </x:c>
      <x:c r="D1" s="28" t="inlineStr">
        <x:is>
          <x:t xml:space="preserve">预期</x:t>
        </x:is>
      </x:c>
      <x:c r="E1" s="28" t="inlineStr">
        <x:is>
          <x:t xml:space="preserve">离线规则检查</x:t>
        </x:is>
      </x:c>
      <x:c r="F1" s="28" t="inlineStr">
        <x:is>
          <x:t xml:space="preserve">Excel重算验证</x:t>
        </x:is>
      </x:c>
      <x:c r="G1" s="28" t="inlineStr">
        <x:is>
          <x:t xml:space="preserve">结论/备注</x:t>
        </x:is>
      </x:c>
    </x:row>
    <x:row r="2">
      <x:c r="A2" t="inlineStr">
        <x:is>
          <x:t xml:space="preserve">T01</x:t>
        </x:is>
      </x:c>
      <x:c r="B2" t="inlineStr">
        <x:is>
          <x:t xml:space="preserve">硬约束均是</x:t>
        </x:is>
      </x:c>
      <x:c r="C2" t="inlineStr">
        <x:is>
          <x:t xml:space="preserve">K=L=M=是</x:t>
        </x:is>
      </x:c>
      <x:c r="D2" t="inlineStr">
        <x:is>
          <x:t xml:space="preserve">N=候选</x:t>
        </x:is>
      </x:c>
      <x:c r="E2" t="inlineStr">
        <x:is>
          <x:t xml:space="preserve">通过</x:t>
        </x:is>
      </x:c>
      <x:c r="F2" t="inlineStr">
        <x:is>
          <x:t xml:space="preserve">未执行</x:t>
        </x:is>
      </x:c>
      <x:c r="G2" t="inlineStr">
        <x:is>
          <x:t xml:space="preserve">已修复候选/符合标签不一致</x:t>
        </x:is>
      </x:c>
    </x:row>
    <x:row r="3">
      <x:c r="A3" t="inlineStr">
        <x:is>
          <x:t xml:space="preserve">T02</x:t>
        </x:is>
      </x:c>
      <x:c r="B3" t="inlineStr">
        <x:is>
          <x:t xml:space="preserve">硬约束存在否</x:t>
        </x:is>
      </x:c>
      <x:c r="C3" t="inlineStr">
        <x:is>
          <x:t xml:space="preserve">K=否</x:t>
        </x:is>
      </x:c>
      <x:c r="D3" t="inlineStr">
        <x:is>
          <x:t xml:space="preserve">N=排除</x:t>
        </x:is>
      </x:c>
      <x:c r="E3" t="inlineStr">
        <x:is>
          <x:t xml:space="preserve">通过</x:t>
        </x:is>
      </x:c>
      <x:c r="F3" t="inlineStr">
        <x:is>
          <x:t xml:space="preserve">未执行</x:t>
        </x:is>
      </x:c>
      <x:c r="G3" t="inlineStr">
        <x:is>
          <x:t xml:space="preserve">不可出分</x:t>
        </x:is>
      </x:c>
    </x:row>
    <x:row r="4">
      <x:c r="A4" t="inlineStr">
        <x:is>
          <x:t xml:space="preserve">T03</x:t>
        </x:is>
      </x:c>
      <x:c r="B4" t="inlineStr">
        <x:is>
          <x:t xml:space="preserve">硬约束待确认</x:t>
        </x:is>
      </x:c>
      <x:c r="C4" t="inlineStr">
        <x:is>
          <x:t xml:space="preserve">M=待确认</x:t>
        </x:is>
      </x:c>
      <x:c r="D4" t="inlineStr">
        <x:is>
          <x:t xml:space="preserve">N=待确认</x:t>
        </x:is>
      </x:c>
      <x:c r="E4" t="inlineStr">
        <x:is>
          <x:t xml:space="preserve">通过</x:t>
        </x:is>
      </x:c>
      <x:c r="F4" t="inlineStr">
        <x:is>
          <x:t xml:space="preserve">未执行</x:t>
        </x:is>
      </x:c>
      <x:c r="G4" t="inlineStr">
        <x:is>
          <x:t xml:space="preserve">不可出分</x:t>
        </x:is>
      </x:c>
    </x:row>
    <x:row r="5">
      <x:c r="A5" t="inlineStr">
        <x:is>
          <x:t xml:space="preserve">T04</x:t>
        </x:is>
      </x:c>
      <x:c r="B5" t="inlineStr">
        <x:is>
          <x:t xml:space="preserve">18项均5且来源齐全</x:t>
        </x:is>
      </x:c>
      <x:c r="C5" t="inlineStr">
        <x:is>
          <x:t xml:space="preserve">18分值=5，18来源有效</x:t>
        </x:is>
      </x:c>
      <x:c r="D5" t="inlineStr">
        <x:is>
          <x:t xml:space="preserve">覆盖=100%；均分5</x:t>
        </x:is>
      </x:c>
      <x:c r="E5" t="inlineStr">
        <x:is>
          <x:t xml:space="preserve">通过</x:t>
        </x:is>
      </x:c>
      <x:c r="F5" t="inlineStr">
        <x:is>
          <x:t xml:space="preserve">未执行</x:t>
        </x:is>
      </x:c>
      <x:c r="G5" t="inlineStr">
        <x:is>
          <x:t xml:space="preserve">2028准入仍需核验</x:t>
        </x:is>
      </x:c>
    </x:row>
    <x:row r="6">
      <x:c r="A6" t="inlineStr">
        <x:is>
          <x:t xml:space="preserve">T05</x:t>
        </x:is>
      </x:c>
      <x:c r="B6" t="inlineStr">
        <x:is>
          <x:t xml:space="preserve">只有一项有证据</x:t>
        </x:is>
      </x:c>
      <x:c r="C6" t="inlineStr">
        <x:is>
          <x:t xml:space="preserve">一项5分且来源</x:t>
        </x:is>
      </x:c>
      <x:c r="D6" t="inlineStr">
        <x:is>
          <x:t xml:space="preserve">覆盖&lt;80%；不出分</x:t>
        </x:is>
      </x:c>
      <x:c r="E6" t="inlineStr">
        <x:is>
          <x:t xml:space="preserve">通过</x:t>
        </x:is>
      </x:c>
      <x:c r="F6" t="inlineStr">
        <x:is>
          <x:t xml:space="preserve">未执行</x:t>
        </x:is>
      </x:c>
      <x:c r="G6" t="inlineStr">
        <x:is>
          <x:t xml:space="preserve">防虚高</x:t>
        </x:is>
      </x:c>
    </x:row>
    <x:row r="7">
      <x:c r="A7" t="inlineStr">
        <x:is>
          <x:t xml:space="preserve">T06</x:t>
        </x:is>
      </x:c>
      <x:c r="B7" t="inlineStr">
        <x:is>
          <x:t xml:space="preserve">有分数但无来源</x:t>
        </x:is>
      </x:c>
      <x:c r="C7" t="inlineStr">
        <x:is>
          <x:t xml:space="preserve">18项5分，来源空</x:t>
        </x:is>
      </x:c>
      <x:c r="D7" t="inlineStr">
        <x:is>
          <x:t xml:space="preserve">覆盖=0；不出分</x:t>
        </x:is>
      </x:c>
      <x:c r="E7" t="inlineStr">
        <x:is>
          <x:t xml:space="preserve">通过</x:t>
        </x:is>
      </x:c>
      <x:c r="F7" t="inlineStr">
        <x:is>
          <x:t xml:space="preserve">未执行</x:t>
        </x:is>
      </x:c>
      <x:c r="G7" t="inlineStr">
        <x:is>
          <x:t xml:space="preserve">来源非空不等于已核验</x:t>
        </x:is>
      </x:c>
    </x:row>
    <x:row r="8">
      <x:c r="A8" t="inlineStr">
        <x:is>
          <x:t xml:space="preserve">T07</x:t>
        </x:is>
      </x:c>
      <x:c r="B8" t="inlineStr">
        <x:is>
          <x:t xml:space="preserve">覆盖率边界</x:t>
        </x:is>
      </x:c>
      <x:c r="C8" t="inlineStr">
        <x:is>
          <x:t xml:space="preserve">79%与80%</x:t>
        </x:is>
      </x:c>
      <x:c r="D8" t="inlineStr">
        <x:is>
          <x:t xml:space="preserve">低于80%隐藏；达到显示</x:t>
        </x:is>
      </x:c>
      <x:c r="E8" t="inlineStr">
        <x:is>
          <x:t xml:space="preserve">通过</x:t>
        </x:is>
      </x:c>
      <x:c r="F8" t="inlineStr">
        <x:is>
          <x:t xml:space="preserve">未执行</x:t>
        </x:is>
      </x:c>
      <x:c r="G8" t="inlineStr">
        <x:is>
          <x:t xml:space="preserve">需Excel端实测</x:t>
        </x:is>
      </x:c>
    </x:row>
    <x:row r="9">
      <x:c r="A9" t="inlineStr">
        <x:is>
          <x:t xml:space="preserve">T08</x:t>
        </x:is>
      </x:c>
      <x:c r="B9" t="inlineStr">
        <x:is>
          <x:t xml:space="preserve">权重修改</x:t>
        </x:is>
      </x:c>
      <x:c r="C9" t="inlineStr">
        <x:is>
          <x:t xml:space="preserve">一级35→40并重归一化</x:t>
        </x:is>
      </x:c>
      <x:c r="D9" t="inlineStr">
        <x:is>
          <x:t xml:space="preserve">相关三级权重随之变化</x:t>
        </x:is>
      </x:c>
      <x:c r="E9" t="inlineStr">
        <x:is>
          <x:t xml:space="preserve">通过</x:t>
        </x:is>
      </x:c>
      <x:c r="F9" t="inlineStr">
        <x:is>
          <x:t xml:space="preserve">未执行</x:t>
        </x:is>
      </x:c>
      <x:c r="G9" t="inlineStr">
        <x:is>
          <x:t xml:space="preserve">需同级总和100%</x:t>
        </x:is>
      </x:c>
    </x:row>
    <x:row r="10">
      <x:c r="A10" t="inlineStr">
        <x:is>
          <x:t xml:space="preserve">T09</x:t>
        </x:is>
      </x:c>
      <x:c r="B10" t="inlineStr">
        <x:is>
          <x:t xml:space="preserve">情景切换</x:t>
        </x:is>
      </x:c>
      <x:c r="C10" t="inlineStr">
        <x:is>
          <x:t xml:space="preserve">职业/报考/科研权重不同</x:t>
        </x:is>
      </x:c>
      <x:c r="D10" t="inlineStr">
        <x:is>
          <x:t xml:space="preserve">独立重归一化</x:t>
        </x:is>
      </x:c>
      <x:c r="E10" t="inlineStr">
        <x:is>
          <x:t xml:space="preserve">待核</x:t>
        </x:is>
      </x:c>
      <x:c r="F10" t="inlineStr">
        <x:is>
          <x:t xml:space="preserve">未执行</x:t>
        </x:is>
      </x:c>
      <x:c r="G10" t="inlineStr">
        <x:is>
          <x:t xml:space="preserve">情景公式须实测</x:t>
        </x:is>
      </x:c>
    </x:row>
    <x:row r="11">
      <x:c r="A11" t="inlineStr">
        <x:is>
          <x:t xml:space="preserve">T10</x:t>
        </x:is>
      </x:c>
      <x:c r="B11" t="inlineStr">
        <x:is>
          <x:t xml:space="preserve">准入标签一致性</x:t>
        </x:is>
      </x:c>
      <x:c r="C11" t="inlineStr">
        <x:is>
          <x:t xml:space="preserve">路径N=候选</x:t>
        </x:is>
      </x:c>
      <x:c r="D11" t="inlineStr">
        <x:is>
          <x:t xml:space="preserve">比较页可识别候选</x:t>
        </x:is>
      </x:c>
      <x:c r="E11" t="inlineStr">
        <x:is>
          <x:t xml:space="preserve">已修复</x:t>
        </x:is>
      </x:c>
      <x:c r="F11" t="inlineStr">
        <x:is>
          <x:t xml:space="preserve">未执行</x:t>
        </x:is>
      </x:c>
      <x:c r="G11" t="inlineStr">
        <x:is>
          <x:t xml:space="preserve">原公式错误检查“符合”</x:t>
        </x:is>
      </x:c>
    </x:row>
    <x:row r="12">
      <x:c r="A12" t="inlineStr">
        <x:is>
          <x:t xml:space="preserve">T11</x:t>
        </x:is>
      </x:c>
      <x:c r="B12" t="inlineStr">
        <x:is>
          <x:t xml:space="preserve">来源无效/伪造</x:t>
        </x:is>
      </x:c>
      <x:c r="C12" t="inlineStr">
        <x:is>
          <x:t xml:space="preserve">来源字段填任意字符串</x:t>
        </x:is>
      </x:c>
      <x:c r="D12" t="inlineStr">
        <x:is>
          <x:t xml:space="preserve">不得视为已核验证据</x:t>
        </x:is>
      </x:c>
      <x:c r="E12" t="inlineStr">
        <x:is>
          <x:t xml:space="preserve">未通过</x:t>
        </x:is>
      </x:c>
      <x:c r="F12" t="inlineStr">
        <x:is>
          <x:t xml:space="preserve">未执行</x:t>
        </x:is>
      </x:c>
      <x:c r="G12" t="inlineStr">
        <x:is>
          <x:t xml:space="preserve">当前公式只判断非空，需人工审核</x:t>
        </x:is>
      </x:c>
    </x:row>
    <x:row r="13">
      <x:c r="A13" t="inlineStr">
        <x:is>
          <x:t xml:space="preserve">T12</x:t>
        </x:is>
      </x:c>
      <x:c r="B13" t="inlineStr">
        <x:is>
          <x:t xml:space="preserve">2028正式资格</x:t>
        </x:is>
      </x:c>
      <x:c r="C13" t="inlineStr">
        <x:is>
          <x:t xml:space="preserve">仅有2027历史证据</x:t>
        </x:is>
      </x:c>
      <x:c r="D13" t="inlineStr">
        <x:is>
          <x:t xml:space="preserve">不可视为2028确定准入</x:t>
        </x:is>
      </x:c>
      <x:c r="E13" t="inlineStr">
        <x:is>
          <x:t xml:space="preserve">待核</x:t>
        </x:is>
      </x:c>
      <x:c r="F13" t="inlineStr">
        <x:is>
          <x:t xml:space="preserve">未执行</x:t>
        </x:is>
      </x:c>
      <x:c r="G13" t="inlineStr">
        <x:is>
          <x:t xml:space="preserve">2028目录公布后复核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5" style="12" customWidth="1"/>
    <x:col min="2" max="2" width="95" style="12" customWidth="1"/>
  </x:cols>
  <x:sheetData>
    <x:row r="1">
      <x:c r="A1" s="27" t="inlineStr">
        <x:is>
          <x:t xml:space="preserve">事项</x:t>
        </x:is>
      </x:c>
      <x:c r="B1" s="27" t="inlineStr">
        <x:is>
          <x:t xml:space="preserve">说明</x:t>
        </x:is>
      </x:c>
    </x:row>
    <x:row r="2">
      <x:c r="A2" t="inlineStr">
        <x:is>
          <x:t xml:space="preserve">发现的阻断缺陷</x:t>
        </x:is>
      </x:c>
      <x:c r="B2" t="inlineStr">
        <x:is>
          <x:t xml:space="preserve">路径N列公式返回 候选/排除/待确认；3_2情景比较却检查 符合，导致任何路径都不能显示评分。</x:t>
        </x:is>
      </x:c>
    </x:row>
    <x:row r="3">
      <x:c r="A3" t="inlineStr">
        <x:is>
          <x:t xml:space="preserve">本次修复</x:t>
        </x:is>
      </x:c>
      <x:c r="B3" t="inlineStr">
        <x:is>
          <x:t xml:space="preserve">3_2情景比较E:I第2至11行统一以 候选 为准入标签（共50处）。</x:t>
        </x:is>
      </x:c>
    </x:row>
    <x:row r="4">
      <x:c r="A4" t="inlineStr">
        <x:is>
          <x:t xml:space="preserve">核验边界</x:t>
        </x:is>
      </x:c>
      <x:c r="B4" t="inlineStr">
        <x:is>
          <x:t xml:space="preserve">2028目录未发布；候选仅代表手工硬约束符合，不代表官方确认2028招生。</x:t>
        </x:is>
      </x:c>
    </x:row>
    <x:row r="5">
      <x:c r="A5" t="inlineStr">
        <x:is>
          <x:t xml:space="preserve">测试性质</x:t>
        </x:is>
      </x:c>
      <x:c r="B5" t="inlineStr">
        <x:is>
          <x:t xml:space="preserve">离线规则逻辑检查；未在Microsoft Excel或LibreOffice实际运行公式重算，不能宣称端到端通过。</x:t>
        </x:is>
      </x:c>
    </x:row>
    <x:row r="6">
      <x:c r="A6" t="inlineStr">
        <x:is>
          <x:t xml:space="preserve">未解决问题</x:t>
        </x:is>
      </x:c>
      <x:c r="B6" t="inlineStr">
        <x:is>
          <x:t xml:space="preserve">来源字段只校验非空；2028资格与历史证据混合风险；情景权重需重算验证。</x:t>
        </x:is>
      </x:c>
    </x:row>
    <x:row r="7">
      <x:c r="A7" t="inlineStr">
        <x:is>
          <x:t xml:space="preserve">下一步</x:t>
        </x:is>
      </x:c>
      <x:c r="B7" t="inlineStr">
        <x:is>
          <x:t xml:space="preserve">在Excel副本逐项执行T01-T12，填入实际输出，确认无误后清空模拟数据。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0" t="str">
        <x:v>Phase 3.7C｜针对性修复</x:v>
      </x:c>
      <x:c r="B1" s="50" t="str">
        <x:v>说明</x:v>
      </x:c>
    </x:row>
    <x:row r="2">
      <x:c r="A2" t="str">
        <x:v>修复对象</x:v>
      </x:c>
      <x:c r="B2" t="str">
        <x:v>3_2情景比较!F2:H11</x:v>
      </x:c>
    </x:row>
    <x:row r="3">
      <x:c r="A3" t="str">
        <x:v>原问题</x:v>
      </x:c>
      <x:c r="B3" t="str">
        <x:v>情景评分统一以基准覆盖率D列判断80%门槛，忽略情景自身K/L/M覆盖率</x:v>
      </x:c>
    </x:row>
    <x:row r="4">
      <x:c r="A4" t="str">
        <x:v>修复</x:v>
      </x:c>
      <x:c r="B4" t="str">
        <x:v>职业F列用K列；报考G列用L列；科研H列用M列</x:v>
      </x:c>
    </x:row>
    <x:row r="5">
      <x:c r="A5" t="str">
        <x:v>新增状态</x:v>
      </x:c>
      <x:c r="B5" t="str">
        <x:v>P/Q/R列分别显示职业/报考/科研情景的准入与覆盖状态</x:v>
      </x:c>
    </x:row>
    <x:row r="6">
      <x:c r="A6" t="str">
        <x:v>未修改</x:v>
      </x:c>
      <x:c r="B6" t="str">
        <x:v>基础分E列仍用D列；准入N列逻辑与2028资格O列不变</x:v>
      </x:c>
    </x:row>
    <x:row r="7">
      <x:c r="A7" t="str">
        <x:v>未解决U-01</x:v>
      </x:c>
      <x:c r="B7" t="str">
        <x:v>来源ID仍仅检查非空，不验证登记存在及证据适用性</x:v>
      </x:c>
    </x:row>
    <x:row r="8">
      <x:c r="A8" t="str">
        <x:v>重要边界</x:v>
      </x:c>
      <x:c r="B8" t="str">
        <x:v>未执行Microsoft Excel端到端验证；须在可用引擎上重算测试</x:v>
      </x:c>
    </x:row>
    <x:row r="9">
      <x:c r="A9" t="str">
        <x:v>研究边界</x:v>
      </x:c>
      <x:c r="B9" t="str">
        <x:v>评分区保持空白；2028资格仍未确认；不产生院校排名</x:v>
      </x:c>
    </x:row>
  </x:sheetData>
  <x:pageMargins left="0.7" right="0.7" top="0.75" bottom="0.75" header="0.3" footer="0.3"/>
</x:worksheet>
</file>